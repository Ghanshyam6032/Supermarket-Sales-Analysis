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ghans\Downloads\Novembar\"/>
    </mc:Choice>
  </mc:AlternateContent>
  <xr:revisionPtr revIDLastSave="0" documentId="13_ncr:1_{840BDABD-94A5-4FF5-BD30-C8FFB0861105}" xr6:coauthVersionLast="47" xr6:coauthVersionMax="47" xr10:uidLastSave="{00000000-0000-0000-0000-000000000000}"/>
  <bookViews>
    <workbookView xWindow="-108" yWindow="-108" windowWidth="23256" windowHeight="12456" activeTab="7" xr2:uid="{00000000-000D-0000-FFFF-FFFF00000000}"/>
  </bookViews>
  <sheets>
    <sheet name="Q1" sheetId="5" r:id="rId1"/>
    <sheet name="Q2" sheetId="6" r:id="rId2"/>
    <sheet name="Q3" sheetId="7" r:id="rId3"/>
    <sheet name="Q5" sheetId="8" r:id="rId4"/>
    <sheet name="Sales_Data" sheetId="1" r:id="rId5"/>
    <sheet name="Item_List" sheetId="2" r:id="rId6"/>
    <sheet name="Region_Targets" sheetId="3" r:id="rId7"/>
    <sheet name="Dashboard" sheetId="4" r:id="rId8"/>
  </sheets>
  <definedNames>
    <definedName name="_xlnm._FilterDatabase" localSheetId="6" hidden="1">Region_Targets!$A$1:$C$1</definedName>
    <definedName name="Slicer_Item_Name">#N/A</definedName>
    <definedName name="Slicer_Months__Date">#N/A</definedName>
    <definedName name="Slicer_Region">#N/A</definedName>
    <definedName name="Slicer_Staff">#N/A</definedName>
  </definedNames>
  <calcPr calcId="191029"/>
  <pivotCaches>
    <pivotCache cacheId="4" r:id="rId9"/>
    <pivotCache cacheId="5"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2" i="1" l="1"/>
  <c r="B8" i="2"/>
  <c r="G2" i="2"/>
  <c r="G8" i="2" s="1"/>
  <c r="G3" i="2"/>
  <c r="G4" i="2"/>
  <c r="G5" i="2"/>
  <c r="G6" i="2"/>
  <c r="G7" i="2"/>
  <c r="E3" i="3"/>
  <c r="E4" i="3"/>
  <c r="E5" i="3"/>
  <c r="E6" i="3"/>
  <c r="E7" i="3"/>
  <c r="E8" i="3"/>
  <c r="E9" i="3"/>
  <c r="E10" i="3"/>
  <c r="E11" i="3"/>
  <c r="E12" i="3"/>
  <c r="E13" i="3"/>
  <c r="E14" i="3"/>
  <c r="E15" i="3"/>
  <c r="E16" i="3"/>
  <c r="E17" i="3"/>
  <c r="E18" i="3"/>
  <c r="E19" i="3"/>
  <c r="E20" i="3"/>
  <c r="E21" i="3"/>
  <c r="E22" i="3"/>
  <c r="E23" i="3"/>
  <c r="E24" i="3"/>
  <c r="E25" i="3"/>
  <c r="E2" i="3"/>
</calcChain>
</file>

<file path=xl/sharedStrings.xml><?xml version="1.0" encoding="utf-8"?>
<sst xmlns="http://schemas.openxmlformats.org/spreadsheetml/2006/main" count="1059" uniqueCount="212">
  <si>
    <t>Date</t>
  </si>
  <si>
    <t>Bill_No</t>
  </si>
  <si>
    <t>Item_ID</t>
  </si>
  <si>
    <t>Item_Name</t>
  </si>
  <si>
    <t>Category</t>
  </si>
  <si>
    <t>Region</t>
  </si>
  <si>
    <t>Staff</t>
  </si>
  <si>
    <t>Quantity</t>
  </si>
  <si>
    <t>Unit_Price</t>
  </si>
  <si>
    <t>Discount_%</t>
  </si>
  <si>
    <t>Total_Sales</t>
  </si>
  <si>
    <t>BILL1148</t>
  </si>
  <si>
    <t>I202</t>
  </si>
  <si>
    <t>Toothpaste</t>
  </si>
  <si>
    <t>Cosmetics</t>
  </si>
  <si>
    <t>East</t>
  </si>
  <si>
    <t>Kiran</t>
  </si>
  <si>
    <t>BILL5864</t>
  </si>
  <si>
    <t>I101</t>
  </si>
  <si>
    <t>Milk</t>
  </si>
  <si>
    <t>Grocery</t>
  </si>
  <si>
    <t>West</t>
  </si>
  <si>
    <t>Sneha</t>
  </si>
  <si>
    <t>BILL9915</t>
  </si>
  <si>
    <t>I102</t>
  </si>
  <si>
    <t>Bread</t>
  </si>
  <si>
    <t>BILL5044</t>
  </si>
  <si>
    <t>I302</t>
  </si>
  <si>
    <t>Juice</t>
  </si>
  <si>
    <t>Snacks</t>
  </si>
  <si>
    <t>North</t>
  </si>
  <si>
    <t>Meena</t>
  </si>
  <si>
    <t>BILL1964</t>
  </si>
  <si>
    <t>South</t>
  </si>
  <si>
    <t>BILL5191</t>
  </si>
  <si>
    <t>Ravi</t>
  </si>
  <si>
    <t>BILL6379</t>
  </si>
  <si>
    <t>BILL7705</t>
  </si>
  <si>
    <t>BILL9611</t>
  </si>
  <si>
    <t>BILL4145</t>
  </si>
  <si>
    <t>I201</t>
  </si>
  <si>
    <t>Shampoo</t>
  </si>
  <si>
    <t>BILL7520</t>
  </si>
  <si>
    <t>BILL5921</t>
  </si>
  <si>
    <t>BILL5824</t>
  </si>
  <si>
    <t>I301</t>
  </si>
  <si>
    <t>Biscuit</t>
  </si>
  <si>
    <t>BILL6017</t>
  </si>
  <si>
    <t>BILL3651</t>
  </si>
  <si>
    <t>Ajay</t>
  </si>
  <si>
    <t>BILL4343</t>
  </si>
  <si>
    <t>BILL3335</t>
  </si>
  <si>
    <t>BILL2106</t>
  </si>
  <si>
    <t>BILL6145</t>
  </si>
  <si>
    <t>BILL9351</t>
  </si>
  <si>
    <t>BILL9791</t>
  </si>
  <si>
    <t>BILL1224</t>
  </si>
  <si>
    <t>BILL9116</t>
  </si>
  <si>
    <t>BILL7794</t>
  </si>
  <si>
    <t>BILL4452</t>
  </si>
  <si>
    <t>BILL5362</t>
  </si>
  <si>
    <t>BILL5422</t>
  </si>
  <si>
    <t>BILL7743</t>
  </si>
  <si>
    <t>BILL3823</t>
  </si>
  <si>
    <t>BILL4712</t>
  </si>
  <si>
    <t>BILL2649</t>
  </si>
  <si>
    <t>BILL2486</t>
  </si>
  <si>
    <t>BILL8844</t>
  </si>
  <si>
    <t>BILL8336</t>
  </si>
  <si>
    <t>BILL1610</t>
  </si>
  <si>
    <t>BILL5413</t>
  </si>
  <si>
    <t>BILL6861</t>
  </si>
  <si>
    <t>BILL4065</t>
  </si>
  <si>
    <t>BILL9466</t>
  </si>
  <si>
    <t>BILL6424</t>
  </si>
  <si>
    <t>BILL2483</t>
  </si>
  <si>
    <t>BILL2451</t>
  </si>
  <si>
    <t>BILL9395</t>
  </si>
  <si>
    <t>BILL4695</t>
  </si>
  <si>
    <t>BILL5049</t>
  </si>
  <si>
    <t>BILL7751</t>
  </si>
  <si>
    <t>BILL3693</t>
  </si>
  <si>
    <t>BILL6850</t>
  </si>
  <si>
    <t>BILL1657</t>
  </si>
  <si>
    <t>BILL3716</t>
  </si>
  <si>
    <t>BILL7726</t>
  </si>
  <si>
    <t>BILL8124</t>
  </si>
  <si>
    <t>BILL9175</t>
  </si>
  <si>
    <t>BILL6490</t>
  </si>
  <si>
    <t>BILL5899</t>
  </si>
  <si>
    <t>BILL5183</t>
  </si>
  <si>
    <t>BILL5157</t>
  </si>
  <si>
    <t>BILL5665</t>
  </si>
  <si>
    <t>BILL2990</t>
  </si>
  <si>
    <t>BILL8325</t>
  </si>
  <si>
    <t>BILL5294</t>
  </si>
  <si>
    <t>BILL5549</t>
  </si>
  <si>
    <t>BILL7896</t>
  </si>
  <si>
    <t>BILL2584</t>
  </si>
  <si>
    <t>BILL2727</t>
  </si>
  <si>
    <t>BILL5282</t>
  </si>
  <si>
    <t>BILL2364</t>
  </si>
  <si>
    <t>BILL5316</t>
  </si>
  <si>
    <t>BILL2215</t>
  </si>
  <si>
    <t>BILL3215</t>
  </si>
  <si>
    <t>BILL7422</t>
  </si>
  <si>
    <t>BILL2945</t>
  </si>
  <si>
    <t>BILL9776</t>
  </si>
  <si>
    <t>BILL7893</t>
  </si>
  <si>
    <t>BILL7081</t>
  </si>
  <si>
    <t>BILL7028</t>
  </si>
  <si>
    <t>BILL9840</t>
  </si>
  <si>
    <t>BILL6968</t>
  </si>
  <si>
    <t>BILL6206</t>
  </si>
  <si>
    <t>BILL7034</t>
  </si>
  <si>
    <t>BILL7514</t>
  </si>
  <si>
    <t>BILL6761</t>
  </si>
  <si>
    <t>BILL8379</t>
  </si>
  <si>
    <t>BILL8071</t>
  </si>
  <si>
    <t>BILL2256</t>
  </si>
  <si>
    <t>BILL4262</t>
  </si>
  <si>
    <t>BILL3701</t>
  </si>
  <si>
    <t>BILL8688</t>
  </si>
  <si>
    <t>BILL4000</t>
  </si>
  <si>
    <t>BILL6729</t>
  </si>
  <si>
    <t>BILL1606</t>
  </si>
  <si>
    <t>BILL7851</t>
  </si>
  <si>
    <t>BILL4870</t>
  </si>
  <si>
    <t>BILL2465</t>
  </si>
  <si>
    <t>BILL7373</t>
  </si>
  <si>
    <t>BILL3028</t>
  </si>
  <si>
    <t>BILL2586</t>
  </si>
  <si>
    <t>BILL7932</t>
  </si>
  <si>
    <t>BILL3120</t>
  </si>
  <si>
    <t>BILL6162</t>
  </si>
  <si>
    <t>BILL6978</t>
  </si>
  <si>
    <t>BILL3621</t>
  </si>
  <si>
    <t>BILL2593</t>
  </si>
  <si>
    <t>BILL3696</t>
  </si>
  <si>
    <t>BILL2782</t>
  </si>
  <si>
    <t>BILL7895</t>
  </si>
  <si>
    <t>BILL4150</t>
  </si>
  <si>
    <t>BILL9083</t>
  </si>
  <si>
    <t>BILL4426</t>
  </si>
  <si>
    <t>BILL8550</t>
  </si>
  <si>
    <t>BILL1791</t>
  </si>
  <si>
    <t>BILL1518</t>
  </si>
  <si>
    <t>BILL7915</t>
  </si>
  <si>
    <t>BILL6441</t>
  </si>
  <si>
    <t>BILL8025</t>
  </si>
  <si>
    <t>BILL8499</t>
  </si>
  <si>
    <t>BILL4857</t>
  </si>
  <si>
    <t>BILL2220</t>
  </si>
  <si>
    <t>BILL1914</t>
  </si>
  <si>
    <t>BILL5680</t>
  </si>
  <si>
    <t>BILL9566</t>
  </si>
  <si>
    <t>BILL7111</t>
  </si>
  <si>
    <t>BILL7445</t>
  </si>
  <si>
    <t>BILL3333</t>
  </si>
  <si>
    <t>BILL9341</t>
  </si>
  <si>
    <t>BILL4616</t>
  </si>
  <si>
    <t>BILL4259</t>
  </si>
  <si>
    <t>BILL2535</t>
  </si>
  <si>
    <t>BILL1153</t>
  </si>
  <si>
    <t>BILL3228</t>
  </si>
  <si>
    <t>BILL8559</t>
  </si>
  <si>
    <t>BILL1437</t>
  </si>
  <si>
    <t>BILL3162</t>
  </si>
  <si>
    <t>BILL4298</t>
  </si>
  <si>
    <t>BILL1072</t>
  </si>
  <si>
    <t>BILL6476</t>
  </si>
  <si>
    <t>BILL7075</t>
  </si>
  <si>
    <t>BILL5810</t>
  </si>
  <si>
    <t>BILL4360</t>
  </si>
  <si>
    <t>BILL1461</t>
  </si>
  <si>
    <t>BILL8738</t>
  </si>
  <si>
    <t>BILL7989</t>
  </si>
  <si>
    <t>BILL6686</t>
  </si>
  <si>
    <t>BILL7629</t>
  </si>
  <si>
    <t>BILL5071</t>
  </si>
  <si>
    <t>BILL6367</t>
  </si>
  <si>
    <t>BILL4361</t>
  </si>
  <si>
    <t>BILL9032</t>
  </si>
  <si>
    <t>BILL1756</t>
  </si>
  <si>
    <t>Cost_Price</t>
  </si>
  <si>
    <t>Selling_Price</t>
  </si>
  <si>
    <t>Month</t>
  </si>
  <si>
    <t>Sales_Target</t>
  </si>
  <si>
    <t>Jan</t>
  </si>
  <si>
    <t>Feb</t>
  </si>
  <si>
    <t>Mar</t>
  </si>
  <si>
    <t>Apr</t>
  </si>
  <si>
    <t>May</t>
  </si>
  <si>
    <t>Jun</t>
  </si>
  <si>
    <t>Actul_Sale</t>
  </si>
  <si>
    <t>Prcenteg</t>
  </si>
  <si>
    <t>Row Labels</t>
  </si>
  <si>
    <t>Grand Total</t>
  </si>
  <si>
    <t>Sum of Total_Sales</t>
  </si>
  <si>
    <t>🏪 Supermarket Sales Project</t>
  </si>
  <si>
    <t>1. Total Sales by Category and Region</t>
  </si>
  <si>
    <t>2. Staff-wise Sales Performance</t>
  </si>
  <si>
    <t>3. Discount Impact on Sales (Avg discount per month)</t>
  </si>
  <si>
    <t>4. Sales vs. Target Comparison (Region_Targets sheet)</t>
  </si>
  <si>
    <t>5. Top 5 Products by Quantity Sold</t>
  </si>
  <si>
    <t>Average of Discount_%</t>
  </si>
  <si>
    <t>Sum of Quantity</t>
  </si>
  <si>
    <t xml:space="preserve"> Supermarket Sales</t>
  </si>
  <si>
    <t>Q</t>
  </si>
  <si>
    <t>Profit</t>
  </si>
  <si>
    <t>Total</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</si>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</sst>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name val="Calibri"/>
    </font>
    <font>
      <sz val="11"/>
      <color theme="1"/>
      <name val="Calibri"/>
      <family val="2"/>
      <scheme val="minor"/>
    </font>
    <font>
      <b/>
      <sz val="13.5"/>
      <color theme="1"/>
      <name val="Calibri"/>
      <family val="2"/>
      <scheme val="minor"/>
    </font>
    <font>
      <sz val="26"/>
      <color theme="1"/>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0" fillId="0" borderId="0"/>
    <xf numFmtId="9" fontId="2" fillId="0" borderId="0" applyFont="0" applyFill="0" applyBorder="0" applyAlignment="0" applyProtection="0"/>
  </cellStyleXfs>
  <cellXfs count="40">
    <xf numFmtId="0" fontId="0" fillId="0" borderId="0" xfId="0"/>
    <xf numFmtId="0" fontId="0" fillId="0" borderId="1" xfId="0" applyBorder="1"/>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applyAlignment="1">
      <alignment vertical="center"/>
    </xf>
    <xf numFmtId="0" fontId="0" fillId="0" borderId="0" xfId="0" applyAlignment="1">
      <alignment horizontal="left" vertical="center" indent="1"/>
    </xf>
    <xf numFmtId="9" fontId="0" fillId="0" borderId="1" xfId="1" applyFont="1" applyBorder="1"/>
    <xf numFmtId="10" fontId="0" fillId="0" borderId="0" xfId="0" applyNumberFormat="1"/>
    <xf numFmtId="2" fontId="0" fillId="0" borderId="0" xfId="0" applyNumberFormat="1"/>
    <xf numFmtId="0" fontId="1" fillId="3" borderId="1" xfId="0" applyFont="1" applyFill="1" applyBorder="1" applyAlignment="1">
      <alignment horizontal="center" vertical="top"/>
    </xf>
    <xf numFmtId="0" fontId="0" fillId="3" borderId="0" xfId="0" applyFill="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0" borderId="10" xfId="0" applyBorder="1"/>
    <xf numFmtId="0" fontId="0" fillId="0" borderId="11" xfId="0" applyBorder="1"/>
    <xf numFmtId="0" fontId="1" fillId="2" borderId="12" xfId="0" applyFont="1" applyFill="1" applyBorder="1" applyAlignment="1">
      <alignment horizontal="center" vertical="top"/>
    </xf>
    <xf numFmtId="0" fontId="1" fillId="2" borderId="13" xfId="0" applyFont="1" applyFill="1" applyBorder="1" applyAlignment="1">
      <alignment horizontal="center" vertical="top"/>
    </xf>
    <xf numFmtId="0" fontId="5" fillId="2" borderId="13" xfId="0" applyFont="1" applyFill="1" applyBorder="1" applyAlignment="1">
      <alignment horizontal="center" vertical="top"/>
    </xf>
    <xf numFmtId="0" fontId="1" fillId="2" borderId="14" xfId="0" applyFont="1" applyFill="1" applyBorder="1" applyAlignment="1">
      <alignment horizontal="center" vertical="top"/>
    </xf>
    <xf numFmtId="0" fontId="0" fillId="0" borderId="15" xfId="0" applyBorder="1"/>
    <xf numFmtId="0" fontId="0" fillId="0" borderId="16" xfId="0" applyBorder="1"/>
    <xf numFmtId="0" fontId="0" fillId="0" borderId="17" xfId="0" applyBorder="1"/>
    <xf numFmtId="0" fontId="5" fillId="2" borderId="14" xfId="0" applyFont="1" applyFill="1" applyBorder="1" applyAlignment="1">
      <alignment horizontal="center" vertical="top"/>
    </xf>
    <xf numFmtId="164" fontId="0" fillId="0" borderId="10" xfId="0" applyNumberFormat="1" applyBorder="1"/>
    <xf numFmtId="164" fontId="0" fillId="0" borderId="16" xfId="0" applyNumberFormat="1" applyBorder="1"/>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20"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22" xfId="0" applyFont="1" applyFill="1" applyBorder="1" applyAlignment="1">
      <alignment horizontal="center" vertical="center"/>
    </xf>
    <xf numFmtId="0" fontId="4" fillId="3" borderId="23" xfId="0" applyFont="1" applyFill="1" applyBorder="1" applyAlignment="1">
      <alignment horizontal="center" vertical="center"/>
    </xf>
    <xf numFmtId="0" fontId="0" fillId="0" borderId="0" xfId="0" applyNumberFormat="1"/>
  </cellXfs>
  <cellStyles count="2">
    <cellStyle name="Normal" xfId="0" builtinId="0"/>
    <cellStyle name="Percent" xfId="1" builtinId="5"/>
  </cellStyles>
  <dxfs count="45">
    <dxf>
      <border diagonalUp="0" diagonalDown="0" outline="0">
        <left style="thin">
          <color indexed="64"/>
        </left>
        <right/>
        <top/>
        <bottom/>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auto="1"/>
        </left>
        <right style="thin">
          <color auto="1"/>
        </right>
        <top style="thin">
          <color auto="1"/>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fill>
        <patternFill patternType="solid">
          <fgColor indexed="64"/>
          <bgColor rgb="FFFFFF00"/>
        </patternFill>
      </fill>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outline="0">
        <left style="thin">
          <color auto="1"/>
        </left>
        <right/>
        <top style="thin">
          <color auto="1"/>
        </top>
        <bottom/>
      </border>
    </dxf>
    <dxf>
      <border diagonalUp="0" diagonalDown="0">
        <left style="thin">
          <color auto="1"/>
        </left>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numFmt numFmtId="164" formatCode="yyyy\-mm\-dd\ hh:mm:ss"/>
      <border diagonalUp="0" diagonalDown="0" outline="0">
        <left/>
        <right style="thin">
          <color auto="1"/>
        </right>
        <top style="thin">
          <color auto="1"/>
        </top>
        <bottom/>
      </border>
    </dxf>
    <dxf>
      <numFmt numFmtId="164" formatCode="yyyy\-mm\-dd\ hh:mm:ss"/>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FFFF00"/>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[Supermarket_Sales_Project.xlsx]Q2!PivotTable3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Staff-wise Sales Performance</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pivotFmt>
      <c:pivotFmt>
        <c:idx val="2"/>
        <c:spPr>
          <a:solidFill>
            <a:schemeClr val="accent4"/>
          </a:solidFill>
          <a:ln>
            <a:noFill/>
          </a:ln>
          <a:effectLst>
            <a:outerShdw blurRad="63500" sx="102000" sy="102000" algn="ctr" rotWithShape="0">
              <a:prstClr val="black">
                <a:alpha val="20000"/>
              </a:prstClr>
            </a:outerShdw>
          </a:effectLst>
        </c:spPr>
      </c:pivotFmt>
      <c:pivotFmt>
        <c:idx val="3"/>
        <c:spPr>
          <a:solidFill>
            <a:schemeClr val="accent6"/>
          </a:solidFill>
          <a:ln>
            <a:noFill/>
          </a:ln>
          <a:effectLst>
            <a:outerShdw blurRad="63500" sx="102000" sy="102000" algn="ctr" rotWithShape="0">
              <a:prstClr val="black">
                <a:alpha val="20000"/>
              </a:prstClr>
            </a:outerShdw>
          </a:effectLst>
        </c:spPr>
      </c:pivotFmt>
      <c:pivotFmt>
        <c:idx val="4"/>
        <c:spPr>
          <a:solidFill>
            <a:schemeClr val="accent2">
              <a:lumMod val="60000"/>
            </a:schemeClr>
          </a:solidFill>
          <a:ln>
            <a:noFill/>
          </a:ln>
          <a:effectLst>
            <a:outerShdw blurRad="63500" sx="102000" sy="102000" algn="ctr" rotWithShape="0">
              <a:prstClr val="black">
                <a:alpha val="20000"/>
              </a:prstClr>
            </a:outerShdw>
          </a:effectLst>
        </c:spPr>
      </c:pivotFmt>
      <c:pivotFmt>
        <c:idx val="5"/>
        <c:spPr>
          <a:solidFill>
            <a:schemeClr val="accent4">
              <a:lumMod val="6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'Q2'!$B$1</c:f>
              <c:strCache>
                <c:ptCount val="1"/>
                <c:pt idx="0">
                  <c:v>Total</c:v>
                </c:pt>
              </c:strCache>
            </c:strRef>
          </c:tx>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D947-482A-AA3A-D5E8AB797658}"/>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947-482A-AA3A-D5E8AB797658}"/>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947-482A-AA3A-D5E8AB797658}"/>
              </c:ext>
            </c:extLst>
          </c:dPt>
          <c:dPt>
            <c:idx val="3"/>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947-482A-AA3A-D5E8AB797658}"/>
              </c:ext>
            </c:extLst>
          </c:dPt>
          <c:dPt>
            <c:idx val="4"/>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D947-482A-AA3A-D5E8AB79765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'Q2'!$A$2:$A$7</c:f>
              <c:strCache>
                <c:ptCount val="5"/>
                <c:pt idx="0">
                  <c:v>Ajay</c:v>
                </c:pt>
                <c:pt idx="1">
                  <c:v>Kiran</c:v>
                </c:pt>
                <c:pt idx="2">
                  <c:v>Meena</c:v>
                </c:pt>
                <c:pt idx="3">
                  <c:v>Ravi</c:v>
                </c:pt>
                <c:pt idx="4">
                  <c:v>Sneha</c:v>
                </c:pt>
              </c:strCache>
            </c:strRef>
          </c:cat>
          <c:val>
            <c:numRef>
              <c:f>'Q2'!$B$2:$B$7</c:f>
              <c:numCache>
                <c:formatCode>0.00%</c:formatCode>
                <c:ptCount val="5"/>
                <c:pt idx="0">
                  <c:v>0.22121646392267955</c:v>
                </c:pt>
                <c:pt idx="1">
                  <c:v>0.16803866022329611</c:v>
                </c:pt>
                <c:pt idx="2">
                  <c:v>0.16140643226128978</c:v>
                </c:pt>
                <c:pt idx="3">
                  <c:v>0.21055157473754374</c:v>
                </c:pt>
                <c:pt idx="4">
                  <c:v>0.23878686885519079</c:v>
                </c:pt>
              </c:numCache>
            </c:numRef>
          </c:val>
          <c:extLst>
            <c:ext xmlns:c16="http://schemas.microsoft.com/office/drawing/2014/chart" uri="{C3380CC4-5D6E-409C-BE32-E72D297353CC}">
              <c16:uniqueId val="{00000000-D947-482A-AA3A-D5E8AB79765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[Supermarket_Sales_Project.xlsx]Q3!PivotTable4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discount per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'Q3'!$A$4:$A$10</c:f>
              <c:strCache>
                <c:ptCount val="6"/>
                <c:pt idx="0">
                  <c:v>Biscuit</c:v>
                </c:pt>
                <c:pt idx="1">
                  <c:v>Bread</c:v>
                </c:pt>
                <c:pt idx="2">
                  <c:v>Juice</c:v>
                </c:pt>
                <c:pt idx="3">
                  <c:v>Milk</c:v>
                </c:pt>
                <c:pt idx="4">
                  <c:v>Shampoo</c:v>
                </c:pt>
                <c:pt idx="5">
                  <c:v>Toothpaste</c:v>
                </c:pt>
              </c:strCache>
            </c:strRef>
          </c:cat>
          <c:val>
            <c:numRef>
              <c:f>'Q3'!$B$4:$B$10</c:f>
              <c:numCache>
                <c:formatCode>0.00</c:formatCode>
                <c:ptCount val="6"/>
                <c:pt idx="0">
                  <c:v>5.2777777777777777</c:v>
                </c:pt>
                <c:pt idx="1">
                  <c:v>4.0740740740740744</c:v>
                </c:pt>
                <c:pt idx="2">
                  <c:v>4.4642857142857144</c:v>
                </c:pt>
                <c:pt idx="3">
                  <c:v>5.4</c:v>
                </c:pt>
                <c:pt idx="4">
                  <c:v>5.7894736842105265</c:v>
                </c:pt>
                <c:pt idx="5">
                  <c:v>5.1515151515151514</c:v>
                </c:pt>
              </c:numCache>
            </c:numRef>
          </c:val>
          <c:extLst>
            <c:ext xmlns:c16="http://schemas.microsoft.com/office/drawing/2014/chart" uri="{C3380CC4-5D6E-409C-BE32-E72D297353CC}">
              <c16:uniqueId val="{00000000-7C68-46FA-B98D-CC7486295121}"/>
            </c:ext>
          </c:extLst>
        </c:ser>
        <c:dLbls>
          <c:dLblPos val="outEnd"/>
          <c:showLegendKey val="0"/>
          <c:showVal val="1"/>
          <c:showCatName val="0"/>
          <c:showSerName val="0"/>
          <c:showPercent val="0"/>
          <c:showBubbleSize val="0"/>
        </c:dLbls>
        <c:gapWidth val="100"/>
        <c:overlap val="-24"/>
        <c:axId val="1576089535"/>
        <c:axId val="1576081375"/>
      </c:barChart>
      <c:catAx>
        <c:axId val="15760895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6081375"/>
        <c:crosses val="autoZero"/>
        <c:auto val="1"/>
        <c:lblAlgn val="ctr"/>
        <c:lblOffset val="100"/>
        <c:noMultiLvlLbl val="0"/>
      </c:catAx>
      <c:valAx>
        <c:axId val="1576081375"/>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608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[Supermarket_Sales_Project.xlsx]Q5!PivotTable5</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 Products by Quantity Sold</a:t>
            </a:r>
            <a:endParaRPr lang="en-US"/>
          </a:p>
        </c:rich>
      </c:tx>
      <c:overlay val="0"/>
      <c:spPr>
        <a:solidFill>
          <a:schemeClr val="accent3"/>
        </a:solidFill>
        <a:ln w="25400" cap="flat" cmpd="sng" algn="ctr">
          <a:solidFill>
            <a:schemeClr val="accent3">
              <a:shade val="15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3"/>
          </a:solidFill>
          <a:ln w="25400" cap="flat" cmpd="sng" algn="ctr">
            <a:solidFill>
              <a:schemeClr val="accent3">
                <a:shade val="1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17869641294845"/>
          <c:y val="0.26791447944006996"/>
          <c:w val="0.61426574803149603"/>
          <c:h val="0.6293157626130067"/>
        </c:manualLayout>
      </c:layout>
      <c:barChart>
        <c:barDir val="bar"/>
        <c:grouping val="clustered"/>
        <c:varyColors val="0"/>
        <c:ser>
          <c:idx val="0"/>
          <c:order val="0"/>
          <c:tx>
            <c:strRef>
              <c:f>'Q5'!$B$3</c:f>
              <c:strCache>
                <c:ptCount val="1"/>
                <c:pt idx="0">
                  <c:v>Total</c:v>
                </c:pt>
              </c:strCache>
            </c:strRef>
          </c:tx>
          <c:spPr>
            <a:solidFill>
              <a:schemeClr val="accent3"/>
            </a:solidFill>
            <a:ln w="25400" cap="flat" cmpd="sng" algn="ctr">
              <a:solidFill>
                <a:schemeClr val="accent3">
                  <a:shade val="15000"/>
                </a:schemeClr>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'Q5'!$A$4:$A$10</c:f>
              <c:strCache>
                <c:ptCount val="6"/>
                <c:pt idx="0">
                  <c:v>Biscuit</c:v>
                </c:pt>
                <c:pt idx="1">
                  <c:v>Bread</c:v>
                </c:pt>
                <c:pt idx="2">
                  <c:v>Juice</c:v>
                </c:pt>
                <c:pt idx="3">
                  <c:v>Milk</c:v>
                </c:pt>
                <c:pt idx="4">
                  <c:v>Shampoo</c:v>
                </c:pt>
                <c:pt idx="5">
                  <c:v>Toothpaste</c:v>
                </c:pt>
              </c:strCache>
            </c:strRef>
          </c:cat>
          <c:val>
            <c:numRef>
              <c:f>'Q5'!$B$4:$B$10</c:f>
              <c:numCache>
                <c:formatCode>General</c:formatCode>
                <c:ptCount val="6"/>
                <c:pt idx="0">
                  <c:v>115</c:v>
                </c:pt>
                <c:pt idx="1">
                  <c:v>151</c:v>
                </c:pt>
                <c:pt idx="2">
                  <c:v>154</c:v>
                </c:pt>
                <c:pt idx="3">
                  <c:v>119</c:v>
                </c:pt>
                <c:pt idx="4">
                  <c:v>105</c:v>
                </c:pt>
                <c:pt idx="5">
                  <c:v>149</c:v>
                </c:pt>
              </c:numCache>
            </c:numRef>
          </c:val>
          <c:extLst>
            <c:ext xmlns:c16="http://schemas.microsoft.com/office/drawing/2014/chart" uri="{C3380CC4-5D6E-409C-BE32-E72D297353CC}">
              <c16:uniqueId val="{00000000-3E01-4C44-ADE1-845E69504098}"/>
            </c:ext>
          </c:extLst>
        </c:ser>
        <c:dLbls>
          <c:showLegendKey val="0"/>
          <c:showVal val="0"/>
          <c:showCatName val="0"/>
          <c:showSerName val="0"/>
          <c:showPercent val="0"/>
          <c:showBubbleSize val="0"/>
        </c:dLbls>
        <c:gapWidth val="182"/>
        <c:axId val="1830852767"/>
        <c:axId val="1830851327"/>
      </c:barChart>
      <c:catAx>
        <c:axId val="183085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851327"/>
        <c:crosses val="autoZero"/>
        <c:auto val="1"/>
        <c:lblAlgn val="ctr"/>
        <c:lblOffset val="100"/>
        <c:noMultiLvlLbl val="0"/>
      </c:catAx>
      <c:valAx>
        <c:axId val="1830851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85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[Supermarket_Sales_Project.xlsx]Item_List!PivotTable7</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Product</a:t>
            </a:r>
            <a:r>
              <a:rPr lang="en-US" baseline="0">
                <a:solidFill>
                  <a:schemeClr val="lt1"/>
                </a:solidFill>
                <a:latin typeface="+mn-lt"/>
                <a:ea typeface="+mn-ea"/>
                <a:cs typeface="+mn-cs"/>
              </a:rPr>
              <a:t> by Profits</a:t>
            </a:r>
            <a:endParaRPr lang="en-US"/>
          </a:p>
        </c:rich>
      </c:tx>
      <c:overlay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Item_List!$K$8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Item_List!$J$9:$J$15</c:f>
              <c:strCache>
                <c:ptCount val="6"/>
                <c:pt idx="0">
                  <c:v>Biscuit</c:v>
                </c:pt>
                <c:pt idx="1">
                  <c:v>Bread</c:v>
                </c:pt>
                <c:pt idx="2">
                  <c:v>Juice</c:v>
                </c:pt>
                <c:pt idx="3">
                  <c:v>Milk</c:v>
                </c:pt>
                <c:pt idx="4">
                  <c:v>Shampoo</c:v>
                </c:pt>
                <c:pt idx="5">
                  <c:v>Toothpaste</c:v>
                </c:pt>
              </c:strCache>
            </c:strRef>
          </c:cat>
          <c:val>
            <c:numRef>
              <c:f>Item_List!$K$9:$K$15</c:f>
              <c:numCache>
                <c:formatCode>General</c:formatCode>
                <c:ptCount val="6"/>
                <c:pt idx="0">
                  <c:v>1150</c:v>
                </c:pt>
                <c:pt idx="1">
                  <c:v>1510</c:v>
                </c:pt>
                <c:pt idx="2">
                  <c:v>3080</c:v>
                </c:pt>
                <c:pt idx="3">
                  <c:v>1190</c:v>
                </c:pt>
                <c:pt idx="4">
                  <c:v>3150</c:v>
                </c:pt>
                <c:pt idx="5">
                  <c:v>2980</c:v>
                </c:pt>
              </c:numCache>
            </c:numRef>
          </c:val>
          <c:smooth val="0"/>
          <c:extLst>
            <c:ext xmlns:c16="http://schemas.microsoft.com/office/drawing/2014/chart" uri="{C3380CC4-5D6E-409C-BE32-E72D297353CC}">
              <c16:uniqueId val="{00000000-57DE-47F8-B6A6-0D1A65F3BD97}"/>
            </c:ext>
          </c:extLst>
        </c:ser>
        <c:dLbls>
          <c:dLblPos val="t"/>
          <c:showLegendKey val="0"/>
          <c:showVal val="1"/>
          <c:showCatName val="0"/>
          <c:showSerName val="0"/>
          <c:showPercent val="0"/>
          <c:showBubbleSize val="0"/>
        </c:dLbls>
        <c:marker val="1"/>
        <c:smooth val="0"/>
        <c:axId val="1817566591"/>
        <c:axId val="1817567071"/>
      </c:lineChart>
      <c:catAx>
        <c:axId val="181756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67071"/>
        <c:crosses val="autoZero"/>
        <c:auto val="1"/>
        <c:lblAlgn val="ctr"/>
        <c:lblOffset val="100"/>
        <c:noMultiLvlLbl val="0"/>
      </c:catAx>
      <c:valAx>
        <c:axId val="181756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6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Sales vs. Target</a:t>
            </a:r>
            <a:endParaRPr lang="en-US"/>
          </a:p>
        </c:rich>
      </c:tx>
      <c:overlay val="0"/>
      <c:spPr>
        <a:solidFill>
          <a:schemeClr val="lt1"/>
        </a:solidFill>
        <a:ln w="25400" cap="flat" cmpd="sng" algn="ctr">
          <a:solidFill>
            <a:schemeClr val="tx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Region_Targets!$C$1</c:f>
              <c:strCache>
                <c:ptCount val="1"/>
                <c:pt idx="0">
                  <c:v>Sales_Target</c:v>
                </c:pt>
              </c:strCache>
            </c:strRef>
          </c:tx>
          <c:spPr>
            <a:solidFill>
              <a:schemeClr val="accent1"/>
            </a:solidFill>
            <a:ln>
              <a:noFill/>
            </a:ln>
            <a:effectLst/>
          </c:spPr>
          <c:invertIfNegative val="0"/>
          <c:val>
            <c:numRef>
              <c:f>Region_Targets!$C$2:$C$25</c:f>
              <c:numCache>
                <c:formatCode>General</c:formatCode>
                <c:ptCount val="24"/>
                <c:pt idx="0">
                  <c:v>383421</c:v>
                </c:pt>
                <c:pt idx="1">
                  <c:v>301925</c:v>
                </c:pt>
                <c:pt idx="2">
                  <c:v>285983</c:v>
                </c:pt>
                <c:pt idx="3">
                  <c:v>246417</c:v>
                </c:pt>
                <c:pt idx="4">
                  <c:v>248030</c:v>
                </c:pt>
                <c:pt idx="5">
                  <c:v>343996</c:v>
                </c:pt>
                <c:pt idx="6">
                  <c:v>305449</c:v>
                </c:pt>
                <c:pt idx="7">
                  <c:v>211438</c:v>
                </c:pt>
                <c:pt idx="8">
                  <c:v>225555</c:v>
                </c:pt>
                <c:pt idx="9">
                  <c:v>340978</c:v>
                </c:pt>
                <c:pt idx="10">
                  <c:v>261551</c:v>
                </c:pt>
                <c:pt idx="11">
                  <c:v>281193</c:v>
                </c:pt>
                <c:pt idx="12">
                  <c:v>222130</c:v>
                </c:pt>
                <c:pt idx="13">
                  <c:v>317018</c:v>
                </c:pt>
                <c:pt idx="14">
                  <c:v>250999</c:v>
                </c:pt>
                <c:pt idx="15">
                  <c:v>277442</c:v>
                </c:pt>
                <c:pt idx="16">
                  <c:v>207306</c:v>
                </c:pt>
                <c:pt idx="17">
                  <c:v>301554</c:v>
                </c:pt>
                <c:pt idx="18">
                  <c:v>354282</c:v>
                </c:pt>
                <c:pt idx="19">
                  <c:v>336565</c:v>
                </c:pt>
                <c:pt idx="20">
                  <c:v>399591</c:v>
                </c:pt>
                <c:pt idx="21">
                  <c:v>361141</c:v>
                </c:pt>
                <c:pt idx="22">
                  <c:v>320277</c:v>
                </c:pt>
                <c:pt idx="23">
                  <c:v>373104</c:v>
                </c:pt>
              </c:numCache>
            </c:numRef>
          </c:val>
          <c:extLst>
            <c:ext xmlns:c16="http://schemas.microsoft.com/office/drawing/2014/chart" uri="{C3380CC4-5D6E-409C-BE32-E72D297353CC}">
              <c16:uniqueId val="{00000000-04CC-4804-9E09-3BF1C1987FE1}"/>
            </c:ext>
          </c:extLst>
        </c:ser>
        <c:ser>
          <c:idx val="1"/>
          <c:order val="1"/>
          <c:tx>
            <c:strRef>
              <c:f>Region_Targets!$D$1</c:f>
              <c:strCache>
                <c:ptCount val="1"/>
                <c:pt idx="0">
                  <c:v>Actul_Sale</c:v>
                </c:pt>
              </c:strCache>
            </c:strRef>
          </c:tx>
          <c:spPr>
            <a:solidFill>
              <a:schemeClr val="accent2"/>
            </a:solidFill>
            <a:ln>
              <a:noFill/>
            </a:ln>
            <a:effectLst/>
          </c:spPr>
          <c:invertIfNegative val="0"/>
          <c:val>
            <c:numRef>
              <c:f>Region_Targets!$D$2:$D$25</c:f>
              <c:numCache>
                <c:formatCode>General</c:formatCode>
                <c:ptCount val="24"/>
                <c:pt idx="0">
                  <c:v>1133.25</c:v>
                </c:pt>
                <c:pt idx="1">
                  <c:v>917</c:v>
                </c:pt>
                <c:pt idx="2">
                  <c:v>2595.5</c:v>
                </c:pt>
                <c:pt idx="3">
                  <c:v>1499.5</c:v>
                </c:pt>
                <c:pt idx="4">
                  <c:v>2306</c:v>
                </c:pt>
                <c:pt idx="5">
                  <c:v>3026</c:v>
                </c:pt>
                <c:pt idx="6">
                  <c:v>2061.25</c:v>
                </c:pt>
                <c:pt idx="7">
                  <c:v>390</c:v>
                </c:pt>
                <c:pt idx="8">
                  <c:v>2193.5</c:v>
                </c:pt>
                <c:pt idx="9">
                  <c:v>1397.25</c:v>
                </c:pt>
                <c:pt idx="10">
                  <c:v>1498</c:v>
                </c:pt>
                <c:pt idx="11">
                  <c:v>815.5</c:v>
                </c:pt>
                <c:pt idx="12">
                  <c:v>175</c:v>
                </c:pt>
                <c:pt idx="13">
                  <c:v>756</c:v>
                </c:pt>
                <c:pt idx="14">
                  <c:v>767</c:v>
                </c:pt>
                <c:pt idx="15">
                  <c:v>2281</c:v>
                </c:pt>
                <c:pt idx="16">
                  <c:v>1700.25</c:v>
                </c:pt>
                <c:pt idx="17">
                  <c:v>2692.25</c:v>
                </c:pt>
                <c:pt idx="18">
                  <c:v>3076.5</c:v>
                </c:pt>
                <c:pt idx="19">
                  <c:v>596.5</c:v>
                </c:pt>
                <c:pt idx="20">
                  <c:v>2204.5</c:v>
                </c:pt>
                <c:pt idx="21">
                  <c:v>494</c:v>
                </c:pt>
                <c:pt idx="22">
                  <c:v>1518</c:v>
                </c:pt>
                <c:pt idx="23">
                  <c:v>1412.5</c:v>
                </c:pt>
              </c:numCache>
            </c:numRef>
          </c:val>
          <c:extLst>
            <c:ext xmlns:c16="http://schemas.microsoft.com/office/drawing/2014/chart" uri="{C3380CC4-5D6E-409C-BE32-E72D297353CC}">
              <c16:uniqueId val="{00000001-04CC-4804-9E09-3BF1C1987FE1}"/>
            </c:ext>
          </c:extLst>
        </c:ser>
        <c:dLbls>
          <c:showLegendKey val="0"/>
          <c:showVal val="0"/>
          <c:showCatName val="0"/>
          <c:showSerName val="0"/>
          <c:showPercent val="0"/>
          <c:showBubbleSize val="0"/>
        </c:dLbls>
        <c:gapWidth val="219"/>
        <c:overlap val="-27"/>
        <c:axId val="1823707231"/>
        <c:axId val="1727006335"/>
      </c:barChart>
      <c:catAx>
        <c:axId val="18237072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006335"/>
        <c:crosses val="autoZero"/>
        <c:auto val="1"/>
        <c:lblAlgn val="ctr"/>
        <c:lblOffset val="100"/>
        <c:noMultiLvlLbl val="0"/>
      </c:catAx>
      <c:valAx>
        <c:axId val="172700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07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[Supermarket_Sales_Project.xlsx]Q2!PivotTable3</c:name>
    <c:fmtId val="6"/>
  </c:pivotSource>
  <c:chart>
    <c:title>
      <c:tx>
        <c:rich>
          <a:bodyPr rot="0" spcFirstLastPara="1" vertOverflow="ellipsis" vert="horz" wrap="square" anchor="ctr" anchorCtr="1"/>
          <a:lstStyle/>
          <a:p>
            <a:pPr>
              <a:defRPr sz="1600" b="1" i="0" u="none" strike="noStrike" kern="1200" cap="all" baseline="0">
                <a:solidFill>
                  <a:schemeClr val="lt1"/>
                </a:solidFill>
                <a:latin typeface="+mn-lt"/>
                <a:ea typeface="+mn-ea"/>
                <a:cs typeface="+mn-cs"/>
              </a:defRPr>
            </a:pPr>
            <a:r>
              <a:rPr lang="en-US">
                <a:solidFill>
                  <a:schemeClr val="lt1"/>
                </a:solidFill>
                <a:latin typeface="+mn-lt"/>
                <a:ea typeface="+mn-ea"/>
                <a:cs typeface="+mn-cs"/>
              </a:rPr>
              <a:t>Staff-wise Sales Performance</a:t>
            </a:r>
            <a:endParaRPr lang="en-US"/>
          </a:p>
        </c:rich>
      </c:tx>
      <c:overlay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600" b="1"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'Q2'!$B$1</c:f>
              <c:strCache>
                <c:ptCount val="1"/>
                <c:pt idx="0">
                  <c:v>Total</c:v>
                </c:pt>
              </c:strCache>
            </c:strRef>
          </c:tx>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FC4-403C-BDE4-F129C1BA3F81}"/>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FC4-403C-BDE4-F129C1BA3F81}"/>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FC4-403C-BDE4-F129C1BA3F81}"/>
              </c:ext>
            </c:extLst>
          </c:dPt>
          <c:dPt>
            <c:idx val="3"/>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FC4-403C-BDE4-F129C1BA3F81}"/>
              </c:ext>
            </c:extLst>
          </c:dPt>
          <c:dPt>
            <c:idx val="4"/>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FC4-403C-BDE4-F129C1BA3F8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DFC4-403C-BDE4-F129C1BA3F8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DFC4-403C-BDE4-F129C1BA3F8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DFC4-403C-BDE4-F129C1BA3F8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DFC4-403C-BDE4-F129C1BA3F81}"/>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DFC4-403C-BDE4-F129C1BA3F8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'Q2'!$A$2:$A$7</c:f>
              <c:strCache>
                <c:ptCount val="5"/>
                <c:pt idx="0">
                  <c:v>Ajay</c:v>
                </c:pt>
                <c:pt idx="1">
                  <c:v>Kiran</c:v>
                </c:pt>
                <c:pt idx="2">
                  <c:v>Meena</c:v>
                </c:pt>
                <c:pt idx="3">
                  <c:v>Ravi</c:v>
                </c:pt>
                <c:pt idx="4">
                  <c:v>Sneha</c:v>
                </c:pt>
              </c:strCache>
            </c:strRef>
          </c:cat>
          <c:val>
            <c:numRef>
              <c:f>'Q2'!$B$2:$B$7</c:f>
              <c:numCache>
                <c:formatCode>0.00%</c:formatCode>
                <c:ptCount val="5"/>
                <c:pt idx="0">
                  <c:v>0.22121646392267955</c:v>
                </c:pt>
                <c:pt idx="1">
                  <c:v>0.16803866022329611</c:v>
                </c:pt>
                <c:pt idx="2">
                  <c:v>0.16140643226128978</c:v>
                </c:pt>
                <c:pt idx="3">
                  <c:v>0.21055157473754374</c:v>
                </c:pt>
                <c:pt idx="4">
                  <c:v>0.23878686885519079</c:v>
                </c:pt>
              </c:numCache>
            </c:numRef>
          </c:val>
          <c:extLst>
            <c:ext xmlns:c16="http://schemas.microsoft.com/office/drawing/2014/chart" uri="{C3380CC4-5D6E-409C-BE32-E72D297353CC}">
              <c16:uniqueId val="{0000000A-DFC4-403C-BDE4-F129C1BA3F81}"/>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[Supermarket_Sales_Project.xlsx]Q3!PivotTable4</c:name>
    <c:fmtId val="17"/>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solidFill>
                  <a:schemeClr val="lt1"/>
                </a:solidFill>
                <a:latin typeface="+mn-lt"/>
                <a:ea typeface="+mn-ea"/>
                <a:cs typeface="+mn-cs"/>
              </a:rPr>
              <a:t>Avg discount per month</a:t>
            </a:r>
            <a:endParaRPr lang="en-US"/>
          </a:p>
        </c:rich>
      </c:tx>
      <c:overlay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'Q3'!$A$4:$A$10</c:f>
              <c:strCache>
                <c:ptCount val="6"/>
                <c:pt idx="0">
                  <c:v>Biscuit</c:v>
                </c:pt>
                <c:pt idx="1">
                  <c:v>Bread</c:v>
                </c:pt>
                <c:pt idx="2">
                  <c:v>Juice</c:v>
                </c:pt>
                <c:pt idx="3">
                  <c:v>Milk</c:v>
                </c:pt>
                <c:pt idx="4">
                  <c:v>Shampoo</c:v>
                </c:pt>
                <c:pt idx="5">
                  <c:v>Toothpaste</c:v>
                </c:pt>
              </c:strCache>
            </c:strRef>
          </c:cat>
          <c:val>
            <c:numRef>
              <c:f>'Q3'!$B$4:$B$10</c:f>
              <c:numCache>
                <c:formatCode>0.00</c:formatCode>
                <c:ptCount val="6"/>
                <c:pt idx="0">
                  <c:v>5.2777777777777777</c:v>
                </c:pt>
                <c:pt idx="1">
                  <c:v>4.0740740740740744</c:v>
                </c:pt>
                <c:pt idx="2">
                  <c:v>4.4642857142857144</c:v>
                </c:pt>
                <c:pt idx="3">
                  <c:v>5.4</c:v>
                </c:pt>
                <c:pt idx="4">
                  <c:v>5.7894736842105265</c:v>
                </c:pt>
                <c:pt idx="5">
                  <c:v>5.1515151515151514</c:v>
                </c:pt>
              </c:numCache>
            </c:numRef>
          </c:val>
          <c:extLst>
            <c:ext xmlns:c16="http://schemas.microsoft.com/office/drawing/2014/chart" uri="{C3380CC4-5D6E-409C-BE32-E72D297353CC}">
              <c16:uniqueId val="{00000000-A5DD-4993-9F03-2EECCD9B2194}"/>
            </c:ext>
          </c:extLst>
        </c:ser>
        <c:dLbls>
          <c:dLblPos val="outEnd"/>
          <c:showLegendKey val="0"/>
          <c:showVal val="1"/>
          <c:showCatName val="0"/>
          <c:showSerName val="0"/>
          <c:showPercent val="0"/>
          <c:showBubbleSize val="0"/>
        </c:dLbls>
        <c:gapWidth val="100"/>
        <c:overlap val="-24"/>
        <c:axId val="1576089535"/>
        <c:axId val="1576081375"/>
      </c:barChart>
      <c:catAx>
        <c:axId val="15760895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6081375"/>
        <c:crosses val="autoZero"/>
        <c:auto val="1"/>
        <c:lblAlgn val="ctr"/>
        <c:lblOffset val="100"/>
        <c:noMultiLvlLbl val="0"/>
      </c:catAx>
      <c:valAx>
        <c:axId val="1576081375"/>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608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[Supermarket_Sales_Project.xlsx]Q5!PivotTable5</c:name>
    <c:fmtId val="9"/>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 Products by Quantity Sold</a:t>
            </a:r>
            <a:endParaRPr lang="en-US"/>
          </a:p>
        </c:rich>
      </c:tx>
      <c:overlay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3"/>
          </a:solidFill>
          <a:ln w="25400" cap="flat" cmpd="sng" algn="ctr">
            <a:solidFill>
              <a:schemeClr val="accent3">
                <a:shade val="1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cap="flat" cmpd="sng" algn="ctr">
            <a:solidFill>
              <a:schemeClr val="accent3">
                <a:shade val="1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25400" cap="flat" cmpd="sng" algn="ctr">
            <a:solidFill>
              <a:schemeClr val="accent3">
                <a:shade val="1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17869641294845"/>
          <c:y val="0.26791447944006996"/>
          <c:w val="0.61426574803149603"/>
          <c:h val="0.6293157626130067"/>
        </c:manualLayout>
      </c:layout>
      <c:barChart>
        <c:barDir val="bar"/>
        <c:grouping val="clustered"/>
        <c:varyColors val="0"/>
        <c:ser>
          <c:idx val="0"/>
          <c:order val="0"/>
          <c:tx>
            <c:strRef>
              <c:f>'Q5'!$B$3</c:f>
              <c:strCache>
                <c:ptCount val="1"/>
                <c:pt idx="0">
                  <c:v>Total</c:v>
                </c:pt>
              </c:strCache>
            </c:strRef>
          </c:tx>
          <c:spPr>
            <a:solidFill>
              <a:schemeClr val="accent3"/>
            </a:solidFill>
            <a:ln w="25400" cap="flat" cmpd="sng" algn="ctr">
              <a:solidFill>
                <a:schemeClr val="accent3">
                  <a:shade val="15000"/>
                </a:schemeClr>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'Q5'!$A$4:$A$10</c:f>
              <c:strCache>
                <c:ptCount val="6"/>
                <c:pt idx="0">
                  <c:v>Biscuit</c:v>
                </c:pt>
                <c:pt idx="1">
                  <c:v>Bread</c:v>
                </c:pt>
                <c:pt idx="2">
                  <c:v>Juice</c:v>
                </c:pt>
                <c:pt idx="3">
                  <c:v>Milk</c:v>
                </c:pt>
                <c:pt idx="4">
                  <c:v>Shampoo</c:v>
                </c:pt>
                <c:pt idx="5">
                  <c:v>Toothpaste</c:v>
                </c:pt>
              </c:strCache>
            </c:strRef>
          </c:cat>
          <c:val>
            <c:numRef>
              <c:f>'Q5'!$B$4:$B$10</c:f>
              <c:numCache>
                <c:formatCode>General</c:formatCode>
                <c:ptCount val="6"/>
                <c:pt idx="0">
                  <c:v>115</c:v>
                </c:pt>
                <c:pt idx="1">
                  <c:v>151</c:v>
                </c:pt>
                <c:pt idx="2">
                  <c:v>154</c:v>
                </c:pt>
                <c:pt idx="3">
                  <c:v>119</c:v>
                </c:pt>
                <c:pt idx="4">
                  <c:v>105</c:v>
                </c:pt>
                <c:pt idx="5">
                  <c:v>149</c:v>
                </c:pt>
              </c:numCache>
            </c:numRef>
          </c:val>
          <c:extLst>
            <c:ext xmlns:c16="http://schemas.microsoft.com/office/drawing/2014/chart" uri="{C3380CC4-5D6E-409C-BE32-E72D297353CC}">
              <c16:uniqueId val="{00000000-D44F-43C9-880E-5022882E2C00}"/>
            </c:ext>
          </c:extLst>
        </c:ser>
        <c:dLbls>
          <c:showLegendKey val="0"/>
          <c:showVal val="0"/>
          <c:showCatName val="0"/>
          <c:showSerName val="0"/>
          <c:showPercent val="0"/>
          <c:showBubbleSize val="0"/>
        </c:dLbls>
        <c:gapWidth val="182"/>
        <c:axId val="1830852767"/>
        <c:axId val="1830851327"/>
      </c:barChart>
      <c:catAx>
        <c:axId val="183085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851327"/>
        <c:crosses val="autoZero"/>
        <c:auto val="1"/>
        <c:lblAlgn val="ctr"/>
        <c:lblOffset val="100"/>
        <c:noMultiLvlLbl val="0"/>
      </c:catAx>
      <c:valAx>
        <c:axId val="1830851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85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[Supermarket_Sales_Project.xlsx]Item_List!PivotTable7</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Product</a:t>
            </a:r>
            <a:r>
              <a:rPr lang="en-US" baseline="0">
                <a:solidFill>
                  <a:schemeClr val="lt1"/>
                </a:solidFill>
                <a:latin typeface="+mn-lt"/>
                <a:ea typeface="+mn-ea"/>
                <a:cs typeface="+mn-cs"/>
              </a:rPr>
              <a:t> by Profits</a:t>
            </a:r>
            <a:endParaRPr lang="en-US"/>
          </a:p>
        </c:rich>
      </c:tx>
      <c:overlay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Item_List!$K$8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Item_List!$J$9:$J$15</c:f>
              <c:strCache>
                <c:ptCount val="6"/>
                <c:pt idx="0">
                  <c:v>Biscuit</c:v>
                </c:pt>
                <c:pt idx="1">
                  <c:v>Bread</c:v>
                </c:pt>
                <c:pt idx="2">
                  <c:v>Juice</c:v>
                </c:pt>
                <c:pt idx="3">
                  <c:v>Milk</c:v>
                </c:pt>
                <c:pt idx="4">
                  <c:v>Shampoo</c:v>
                </c:pt>
                <c:pt idx="5">
                  <c:v>Toothpaste</c:v>
                </c:pt>
              </c:strCache>
            </c:strRef>
          </c:cat>
          <c:val>
            <c:numRef>
              <c:f>Item_List!$K$9:$K$15</c:f>
              <c:numCache>
                <c:formatCode>General</c:formatCode>
                <c:ptCount val="6"/>
                <c:pt idx="0">
                  <c:v>1150</c:v>
                </c:pt>
                <c:pt idx="1">
                  <c:v>1510</c:v>
                </c:pt>
                <c:pt idx="2">
                  <c:v>3080</c:v>
                </c:pt>
                <c:pt idx="3">
                  <c:v>1190</c:v>
                </c:pt>
                <c:pt idx="4">
                  <c:v>3150</c:v>
                </c:pt>
                <c:pt idx="5">
                  <c:v>2980</c:v>
                </c:pt>
              </c:numCache>
            </c:numRef>
          </c:val>
          <c:smooth val="0"/>
          <c:extLst>
            <c:ext xmlns:c16="http://schemas.microsoft.com/office/drawing/2014/chart" uri="{C3380CC4-5D6E-409C-BE32-E72D297353CC}">
              <c16:uniqueId val="{00000001-6E50-4523-B1C6-E0F8ED6FA401}"/>
            </c:ext>
          </c:extLst>
        </c:ser>
        <c:dLbls>
          <c:dLblPos val="t"/>
          <c:showLegendKey val="0"/>
          <c:showVal val="1"/>
          <c:showCatName val="0"/>
          <c:showSerName val="0"/>
          <c:showPercent val="0"/>
          <c:showBubbleSize val="0"/>
        </c:dLbls>
        <c:marker val="1"/>
        <c:smooth val="0"/>
        <c:axId val="1817566591"/>
        <c:axId val="1817567071"/>
      </c:lineChart>
      <c:catAx>
        <c:axId val="181756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67071"/>
        <c:crosses val="autoZero"/>
        <c:auto val="1"/>
        <c:lblAlgn val="ctr"/>
        <c:lblOffset val="100"/>
        <c:noMultiLvlLbl val="0"/>
      </c:catAx>
      <c:valAx>
        <c:axId val="181756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6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495300</xdr:colOff>
      <xdr:row>6</xdr:row>
      <xdr:rowOff>45720</xdr:rowOff>
    </xdr:from>
    <xdr:to>
      <xdr:col>11</xdr:col>
      <xdr:colOff>190500</xdr:colOff>
      <xdr:row>21</xdr:row>
      <xdr:rowOff>45720</xdr:rowOff>
    </xdr:to>
    <xdr:graphicFrame macro="">
      <xdr:nvGraphicFramePr>
        <xdr:cNvPr id="2" name="Chart 1">
          <a:extLst>
            <a:ext uri="{FF2B5EF4-FFF2-40B4-BE49-F238E27FC236}">
              <a16:creationId xmlns:a16="http://schemas.microsoft.com/office/drawing/2014/main" id="{412617F2-14CE-8568-8573-E9EA503C8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6</xdr:row>
      <xdr:rowOff>45720</xdr:rowOff>
    </xdr:from>
    <xdr:to>
      <xdr:col>8</xdr:col>
      <xdr:colOff>495300</xdr:colOff>
      <xdr:row>21</xdr:row>
      <xdr:rowOff>45720</xdr:rowOff>
    </xdr:to>
    <xdr:graphicFrame macro="">
      <xdr:nvGraphicFramePr>
        <xdr:cNvPr id="2" name="Chart 1">
          <a:extLst>
            <a:ext uri="{FF2B5EF4-FFF2-40B4-BE49-F238E27FC236}">
              <a16:creationId xmlns:a16="http://schemas.microsoft.com/office/drawing/2014/main" id="{DEF2DB21-F734-F931-A11A-AB88C83BA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xdr:colOff>
      <xdr:row>6</xdr:row>
      <xdr:rowOff>45720</xdr:rowOff>
    </xdr:from>
    <xdr:to>
      <xdr:col>11</xdr:col>
      <xdr:colOff>335280</xdr:colOff>
      <xdr:row>21</xdr:row>
      <xdr:rowOff>45720</xdr:rowOff>
    </xdr:to>
    <xdr:graphicFrame macro="">
      <xdr:nvGraphicFramePr>
        <xdr:cNvPr id="2" name="Chart 1">
          <a:extLst>
            <a:ext uri="{FF2B5EF4-FFF2-40B4-BE49-F238E27FC236}">
              <a16:creationId xmlns:a16="http://schemas.microsoft.com/office/drawing/2014/main" id="{875FCF17-99D3-2D58-2DED-BD303D377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297180</xdr:colOff>
      <xdr:row>10</xdr:row>
      <xdr:rowOff>87630</xdr:rowOff>
    </xdr:from>
    <xdr:to>
      <xdr:col>8</xdr:col>
      <xdr:colOff>457200</xdr:colOff>
      <xdr:row>25</xdr:row>
      <xdr:rowOff>87630</xdr:rowOff>
    </xdr:to>
    <xdr:graphicFrame macro="">
      <xdr:nvGraphicFramePr>
        <xdr:cNvPr id="2" name="Chart 1">
          <a:extLst>
            <a:ext uri="{FF2B5EF4-FFF2-40B4-BE49-F238E27FC236}">
              <a16:creationId xmlns:a16="http://schemas.microsoft.com/office/drawing/2014/main" id="{8A08229C-AB34-1A9E-2E1A-A97CBB58A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30480</xdr:colOff>
      <xdr:row>6</xdr:row>
      <xdr:rowOff>41910</xdr:rowOff>
    </xdr:from>
    <xdr:to>
      <xdr:col>13</xdr:col>
      <xdr:colOff>289560</xdr:colOff>
      <xdr:row>21</xdr:row>
      <xdr:rowOff>41910</xdr:rowOff>
    </xdr:to>
    <xdr:graphicFrame macro="">
      <xdr:nvGraphicFramePr>
        <xdr:cNvPr id="3" name="Chart 2">
          <a:extLst>
            <a:ext uri="{FF2B5EF4-FFF2-40B4-BE49-F238E27FC236}">
              <a16:creationId xmlns:a16="http://schemas.microsoft.com/office/drawing/2014/main" id="{4F73035C-A302-4BB4-4EEA-6C01167DE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106680</xdr:colOff>
      <xdr:row>5</xdr:row>
      <xdr:rowOff>76200</xdr:rowOff>
    </xdr:from>
    <xdr:to>
      <xdr:col>12</xdr:col>
      <xdr:colOff>556260</xdr:colOff>
      <xdr:row>24</xdr:row>
      <xdr:rowOff>175260</xdr:rowOff>
    </xdr:to>
    <xdr:graphicFrame macro="">
      <xdr:nvGraphicFramePr>
        <xdr:cNvPr id="2" name="Chart 1">
          <a:extLst>
            <a:ext uri="{FF2B5EF4-FFF2-40B4-BE49-F238E27FC236}">
              <a16:creationId xmlns:a16="http://schemas.microsoft.com/office/drawing/2014/main" id="{CABC8F23-7C3D-40E8-9713-BD7D633CF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22860</xdr:colOff>
      <xdr:row>5</xdr:row>
      <xdr:rowOff>38101</xdr:rowOff>
    </xdr:from>
    <xdr:to>
      <xdr:col>3</xdr:col>
      <xdr:colOff>586740</xdr:colOff>
      <xdr:row>16</xdr:row>
      <xdr:rowOff>7621</xdr:rowOff>
    </xdr:to>
    <mc:AlternateContent xmlns:mc="http://schemas.openxmlformats.org/markup-compatibility/2006" xmlns:a14="http://schemas.microsoft.com/office/drawing/2010/main">
      <mc:Choice Requires="a14">
        <xdr:graphicFrame macro="">
          <xdr:nvGraphicFramePr>
            <xdr:cNvPr id="3" name="Item_Name">
              <a:extLst>
                <a:ext uri="{FF2B5EF4-FFF2-40B4-BE49-F238E27FC236}">
                  <a16:creationId xmlns:a16="http://schemas.microsoft.com/office/drawing/2014/main" id="{BADC3A88-C210-D841-5CF8-214726B8D3C3}"/>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137682" y="685279"/>
              <a:ext cx="1774729" cy="2036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53340</xdr:colOff>
      <xdr:row>16</xdr:row>
      <xdr:rowOff>175259</xdr:rowOff>
    </xdr:from>
    <xdr:to>
      <xdr:col>3</xdr:col>
      <xdr:colOff>586740</xdr:colOff>
      <xdr:row>24</xdr:row>
      <xdr:rowOff>99060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C05D5D7-4B76-0B45-58E0-93AF8D7057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8162" y="2889232"/>
              <a:ext cx="1744249" cy="1426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25</xdr:row>
      <xdr:rowOff>167641</xdr:rowOff>
    </xdr:from>
    <xdr:to>
      <xdr:col>3</xdr:col>
      <xdr:colOff>571500</xdr:colOff>
      <xdr:row>34</xdr:row>
      <xdr:rowOff>160020</xdr:rowOff>
    </xdr:to>
    <mc:AlternateContent xmlns:mc="http://schemas.openxmlformats.org/markup-compatibility/2006" xmlns:a14="http://schemas.microsoft.com/office/drawing/2010/main">
      <mc:Choice Requires="a14">
        <xdr:graphicFrame macro="">
          <xdr:nvGraphicFramePr>
            <xdr:cNvPr id="5" name="Staff">
              <a:extLst>
                <a:ext uri="{FF2B5EF4-FFF2-40B4-BE49-F238E27FC236}">
                  <a16:creationId xmlns:a16="http://schemas.microsoft.com/office/drawing/2014/main" id="{880D260C-D17F-1A77-5474-52B46B28EA67}"/>
                </a:ext>
              </a:extLst>
            </xdr:cNvPr>
            <xdr:cNvGraphicFramePr/>
          </xdr:nvGraphicFramePr>
          <xdr:xfrm>
            <a:off x="0" y="0"/>
            <a:ext cx="0" cy="0"/>
          </xdr:xfrm>
          <a:graphic>
            <a:graphicData uri="http://schemas.microsoft.com/office/drawing/2010/slicer">
              <sle:slicer xmlns:sle="http://schemas.microsoft.com/office/drawing/2010/slicer" name="Staff"/>
            </a:graphicData>
          </a:graphic>
        </xdr:graphicFrame>
      </mc:Choice>
      <mc:Fallback xmlns="">
        <xdr:sp macro="" textlink="">
          <xdr:nvSpPr>
            <xdr:cNvPr id="0" name=""/>
            <xdr:cNvSpPr>
              <a:spLocks noTextEdit="1"/>
            </xdr:cNvSpPr>
          </xdr:nvSpPr>
          <xdr:spPr>
            <a:xfrm>
              <a:off x="145302" y="4572627"/>
              <a:ext cx="1751869" cy="1683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35</xdr:row>
      <xdr:rowOff>68579</xdr:rowOff>
    </xdr:from>
    <xdr:to>
      <xdr:col>3</xdr:col>
      <xdr:colOff>563880</xdr:colOff>
      <xdr:row>45</xdr:row>
      <xdr:rowOff>83820</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CA9F31BB-3DBD-FA9D-CC02-9F203A37FA8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14822" y="6352469"/>
              <a:ext cx="1774729" cy="1894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60960</xdr:colOff>
      <xdr:row>5</xdr:row>
      <xdr:rowOff>76200</xdr:rowOff>
    </xdr:from>
    <xdr:to>
      <xdr:col>20</xdr:col>
      <xdr:colOff>480060</xdr:colOff>
      <xdr:row>25</xdr:row>
      <xdr:rowOff>7620</xdr:rowOff>
    </xdr:to>
    <xdr:graphicFrame macro="">
      <xdr:nvGraphicFramePr>
        <xdr:cNvPr id="7" name="Chart 6">
          <a:extLst>
            <a:ext uri="{FF2B5EF4-FFF2-40B4-BE49-F238E27FC236}">
              <a16:creationId xmlns:a16="http://schemas.microsoft.com/office/drawing/2014/main" id="{7A591E69-0084-4CBE-AEB1-717C76C89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99060</xdr:colOff>
      <xdr:row>25</xdr:row>
      <xdr:rowOff>99060</xdr:rowOff>
    </xdr:from>
    <xdr:to>
      <xdr:col>12</xdr:col>
      <xdr:colOff>548640</xdr:colOff>
      <xdr:row>45</xdr:row>
      <xdr:rowOff>99060</xdr:rowOff>
    </xdr:to>
    <xdr:graphicFrame macro="">
      <xdr:nvGraphicFramePr>
        <xdr:cNvPr id="8" name="Chart 7">
          <a:extLst>
            <a:ext uri="{FF2B5EF4-FFF2-40B4-BE49-F238E27FC236}">
              <a16:creationId xmlns:a16="http://schemas.microsoft.com/office/drawing/2014/main" id="{7FDD7864-FAB7-4A1E-89FD-490B06385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76200</xdr:colOff>
      <xdr:row>25</xdr:row>
      <xdr:rowOff>152400</xdr:rowOff>
    </xdr:from>
    <xdr:to>
      <xdr:col>20</xdr:col>
      <xdr:colOff>495300</xdr:colOff>
      <xdr:row>45</xdr:row>
      <xdr:rowOff>53340</xdr:rowOff>
    </xdr:to>
    <xdr:graphicFrame macro="">
      <xdr:nvGraphicFramePr>
        <xdr:cNvPr id="13" name="Chart 12">
          <a:extLst>
            <a:ext uri="{FF2B5EF4-FFF2-40B4-BE49-F238E27FC236}">
              <a16:creationId xmlns:a16="http://schemas.microsoft.com/office/drawing/2014/main" id="{6C8FB84F-944E-4C82-B88F-D8316745A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ANSHYAM PRAJAPATI" refreshedDate="45958.652428587964" createdVersion="8" refreshedVersion="8" minRefreshableVersion="3" recordCount="150" xr:uid="{F85AFBAC-8497-4B12-9F27-671C5B53D001}">
  <cacheSource type="worksheet">
    <worksheetSource ref="A1:K151" sheet="Sales_Data"/>
  </cacheSource>
  <cacheFields count="13">
    <cacheField name="Date" numFmtId="164">
      <sharedItems containsSemiMixedTypes="0" containsNonDate="0" containsDate="1" containsString="0" minDate="2025-01-01T00:00:00" maxDate="2025-06-30T00:00:00" count="100">
        <d v="2025-02-25T00:00:00"/>
        <d v="2025-05-09T00:00:00"/>
        <d v="2025-05-12T00:00:00"/>
        <d v="2025-01-22T00:00:00"/>
        <d v="2025-05-03T00:00:00"/>
        <d v="2025-05-18T00:00:00"/>
        <d v="2025-06-19T00:00:00"/>
        <d v="2025-05-22T00:00:00"/>
        <d v="2025-03-19T00:00:00"/>
        <d v="2025-06-10T00:00:00"/>
        <d v="2025-05-13T00:00:00"/>
        <d v="2025-05-19T00:00:00"/>
        <d v="2025-05-07T00:00:00"/>
        <d v="2025-06-22T00:00:00"/>
        <d v="2025-03-05T00:00:00"/>
        <d v="2025-02-21T00:00:00"/>
        <d v="2025-03-13T00:00:00"/>
        <d v="2025-01-25T00:00:00"/>
        <d v="2025-06-26T00:00:00"/>
        <d v="2025-05-02T00:00:00"/>
        <d v="2025-04-24T00:00:00"/>
        <d v="2025-05-21T00:00:00"/>
        <d v="2025-06-23T00:00:00"/>
        <d v="2025-01-12T00:00:00"/>
        <d v="2025-05-24T00:00:00"/>
        <d v="2025-05-25T00:00:00"/>
        <d v="2025-03-17T00:00:00"/>
        <d v="2025-03-15T00:00:00"/>
        <d v="2025-06-16T00:00:00"/>
        <d v="2025-04-27T00:00:00"/>
        <d v="2025-04-05T00:00:00"/>
        <d v="2025-02-03T00:00:00"/>
        <d v="2025-04-14T00:00:00"/>
        <d v="2025-03-30T00:00:00"/>
        <d v="2025-03-25T00:00:00"/>
        <d v="2025-05-20T00:00:00"/>
        <d v="2025-04-16T00:00:00"/>
        <d v="2025-05-08T00:00:00"/>
        <d v="2025-01-03T00:00:00"/>
        <d v="2025-05-16T00:00:00"/>
        <d v="2025-01-20T00:00:00"/>
        <d v="2025-05-01T00:00:00"/>
        <d v="2025-02-09T00:00:00"/>
        <d v="2025-06-07T00:00:00"/>
        <d v="2025-01-19T00:00:00"/>
        <d v="2025-06-29T00:00:00"/>
        <d v="2025-01-02T00:00:00"/>
        <d v="2025-02-05T00:00:00"/>
        <d v="2025-03-27T00:00:00"/>
        <d v="2025-04-02T00:00:00"/>
        <d v="2025-05-30T00:00:00"/>
        <d v="2025-05-27T00:00:00"/>
        <d v="2025-03-07T00:00:00"/>
        <d v="2025-06-25T00:00:00"/>
        <d v="2025-02-15T00:00:00"/>
        <d v="2025-06-02T00:00:00"/>
        <d v="2025-01-04T00:00:00"/>
        <d v="2025-04-03T00:00:00"/>
        <d v="2025-04-20T00:00:00"/>
        <d v="2025-03-06T00:00:00"/>
        <d v="2025-02-08T00:00:00"/>
        <d v="2025-05-14T00:00:00"/>
        <d v="2025-01-15T00:00:00"/>
        <d v="2025-06-09T00:00:00"/>
        <d v="2025-04-19T00:00:00"/>
        <d v="2025-02-11T00:00:00"/>
        <d v="2025-06-28T00:00:00"/>
        <d v="2025-02-16T00:00:00"/>
        <d v="2025-05-23T00:00:00"/>
        <d v="2025-01-14T00:00:00"/>
        <d v="2025-04-09T00:00:00"/>
        <d v="2025-03-31T00:00:00"/>
        <d v="2025-04-01T00:00:00"/>
        <d v="2025-06-04T00:00:00"/>
        <d v="2025-06-01T00:00:00"/>
        <d v="2025-03-09T00:00:00"/>
        <d v="2025-04-22T00:00:00"/>
        <d v="2025-03-28T00:00:00"/>
        <d v="2025-03-22T00:00:00"/>
        <d v="2025-01-16T00:00:00"/>
        <d v="2025-06-13T00:00:00"/>
        <d v="2025-03-21T00:00:00"/>
        <d v="2025-04-06T00:00:00"/>
        <d v="2025-01-26T00:00:00"/>
        <d v="2025-06-14T00:00:00"/>
        <d v="2025-01-31T00:00:00"/>
        <d v="2025-03-03T00:00:00"/>
        <d v="2025-01-01T00:00:00"/>
        <d v="2025-02-18T00:00:00"/>
        <d v="2025-06-06T00:00:00"/>
        <d v="2025-03-18T00:00:00"/>
        <d v="2025-01-30T00:00:00"/>
        <d v="2025-06-15T00:00:00"/>
        <d v="2025-04-30T00:00:00"/>
        <d v="2025-06-17T00:00:00"/>
        <d v="2025-06-08T00:00:00"/>
        <d v="2025-01-29T00:00:00"/>
        <d v="2025-04-13T00:00:00"/>
        <d v="2025-01-28T00:00:00"/>
        <d v="2025-02-06T00:00:00"/>
      </sharedItems>
      <fieldGroup par="12"/>
    </cacheField>
    <cacheField name="Bill_No" numFmtId="0">
      <sharedItems/>
    </cacheField>
    <cacheField name="Item_ID" numFmtId="0">
      <sharedItems count="6">
        <s v="I202"/>
        <s v="I101"/>
        <s v="I102"/>
        <s v="I302"/>
        <s v="I201"/>
        <s v="I301"/>
      </sharedItems>
    </cacheField>
    <cacheField name="Item_Name" numFmtId="0">
      <sharedItems count="6">
        <s v="Toothpaste"/>
        <s v="Milk"/>
        <s v="Bread"/>
        <s v="Juice"/>
        <s v="Shampoo"/>
        <s v="Biscuit"/>
      </sharedItems>
    </cacheField>
    <cacheField name="Category" numFmtId="0">
      <sharedItems count="3">
        <s v="Cosmetics"/>
        <s v="Grocery"/>
        <s v="Snacks"/>
      </sharedItems>
    </cacheField>
    <cacheField name="Region" numFmtId="0">
      <sharedItems count="4">
        <s v="East"/>
        <s v="West"/>
        <s v="North"/>
        <s v="South"/>
      </sharedItems>
    </cacheField>
    <cacheField name="Staff" numFmtId="0">
      <sharedItems count="5">
        <s v="Kiran"/>
        <s v="Sneha"/>
        <s v="Meena"/>
        <s v="Ravi"/>
        <s v="Ajay"/>
      </sharedItems>
    </cacheField>
    <cacheField name="Quantity" numFmtId="0">
      <sharedItems containsSemiMixedTypes="0" containsString="0" containsNumber="1" containsInteger="1" minValue="1" maxValue="9" count="9">
        <n v="4"/>
        <n v="2"/>
        <n v="8"/>
        <n v="6"/>
        <n v="3"/>
        <n v="7"/>
        <n v="5"/>
        <n v="1"/>
        <n v="9"/>
      </sharedItems>
    </cacheField>
    <cacheField name="Unit_Price" numFmtId="0">
      <sharedItems containsSemiMixedTypes="0" containsString="0" containsNumber="1" containsInteger="1" minValue="20" maxValue="120"/>
    </cacheField>
    <cacheField name="Discount_%" numFmtId="0">
      <sharedItems containsSemiMixedTypes="0" containsString="0" containsNumber="1" containsInteger="1" minValue="0" maxValue="10" count="3">
        <n v="5"/>
        <n v="10"/>
        <n v="0"/>
      </sharedItems>
    </cacheField>
    <cacheField name="Total_Sales" numFmtId="0">
      <sharedItems containsSemiMixedTypes="0" containsString="0" containsNumber="1" minValue="31.5" maxValue="972"/>
    </cacheField>
    <cacheField name="Days (Date)" numFmtId="0" databaseField="0">
      <fieldGroup base="0">
        <rangePr groupBy="days" startDate="2025-01-01T00:00:00" endDate="2025-06-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30/2025"/>
        </groupItems>
      </fieldGroup>
    </cacheField>
    <cacheField name="Months (Date)" numFmtId="0" databaseField="0">
      <fieldGroup base="0">
        <rangePr groupBy="months" startDate="2025-01-01T00:00:00" endDate="2025-06-30T00:00:00"/>
        <groupItems count="14">
          <s v="&lt;1/1/2025"/>
          <s v="Jan"/>
          <s v="Feb"/>
          <s v="Mar"/>
          <s v="Apr"/>
          <s v="May"/>
          <s v="Jun"/>
          <s v="Jul"/>
          <s v="Aug"/>
          <s v="Sep"/>
          <s v="Oct"/>
          <s v="Nov"/>
          <s v="Dec"/>
          <s v="&gt;6/30/2025"/>
        </groupItems>
      </fieldGroup>
    </cacheField>
  </cacheFields>
  <extLst>
    <ext xmlns:x14="http://schemas.microsoft.com/office/spreadsheetml/2009/9/main" uri="{725AE2AE-9491-48be-B2B4-4EB974FC3084}">
      <x14:pivotCacheDefinition pivotCacheId="11936393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ANSHYAM PRAJAPATI" refreshedDate="45958.69547337963" createdVersion="8" refreshedVersion="8" minRefreshableVersion="3" recordCount="6" xr:uid="{7FFEB117-1F43-46CF-B506-84160F7FEB71}">
  <cacheSource type="worksheet">
    <worksheetSource name="Table1"/>
  </cacheSource>
  <cacheFields count="7">
    <cacheField name="Item_ID" numFmtId="0">
      <sharedItems/>
    </cacheField>
    <cacheField name="Item_Name" numFmtId="0">
      <sharedItems count="6">
        <s v="Milk"/>
        <s v="Bread"/>
        <s v="Shampoo"/>
        <s v="Toothpaste"/>
        <s v="Biscuit"/>
        <s v="Juice"/>
      </sharedItems>
    </cacheField>
    <cacheField name="Category" numFmtId="0">
      <sharedItems/>
    </cacheField>
    <cacheField name="Cost_Price" numFmtId="0">
      <sharedItems containsSemiMixedTypes="0" containsString="0" containsNumber="1" containsInteger="1" minValue="10" maxValue="90"/>
    </cacheField>
    <cacheField name="Q" numFmtId="0">
      <sharedItems containsSemiMixedTypes="0" containsString="0" containsNumber="1" containsInteger="1" minValue="105" maxValue="154"/>
    </cacheField>
    <cacheField name="Selling_Price" numFmtId="0">
      <sharedItems containsSemiMixedTypes="0" containsString="0" containsNumber="1" containsInteger="1" minValue="20" maxValue="120"/>
    </cacheField>
    <cacheField name="Profit" numFmtId="0">
      <sharedItems containsSemiMixedTypes="0" containsString="0" containsNumber="1" containsInteger="1" minValue="1150" maxValue="31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BILL1148"/>
    <x v="0"/>
    <x v="0"/>
    <x v="0"/>
    <x v="0"/>
    <x v="0"/>
    <x v="0"/>
    <n v="60"/>
    <x v="0"/>
    <n v="228"/>
  </r>
  <r>
    <x v="1"/>
    <s v="BILL5864"/>
    <x v="1"/>
    <x v="1"/>
    <x v="1"/>
    <x v="1"/>
    <x v="1"/>
    <x v="1"/>
    <n v="35"/>
    <x v="1"/>
    <n v="63"/>
  </r>
  <r>
    <x v="2"/>
    <s v="BILL9915"/>
    <x v="2"/>
    <x v="2"/>
    <x v="1"/>
    <x v="1"/>
    <x v="0"/>
    <x v="2"/>
    <n v="25"/>
    <x v="1"/>
    <n v="180"/>
  </r>
  <r>
    <x v="3"/>
    <s v="BILL5044"/>
    <x v="3"/>
    <x v="3"/>
    <x v="2"/>
    <x v="2"/>
    <x v="2"/>
    <x v="3"/>
    <n v="50"/>
    <x v="0"/>
    <n v="285"/>
  </r>
  <r>
    <x v="4"/>
    <s v="BILL1964"/>
    <x v="0"/>
    <x v="0"/>
    <x v="0"/>
    <x v="3"/>
    <x v="2"/>
    <x v="2"/>
    <n v="60"/>
    <x v="1"/>
    <n v="432"/>
  </r>
  <r>
    <x v="5"/>
    <s v="BILL5191"/>
    <x v="2"/>
    <x v="2"/>
    <x v="1"/>
    <x v="2"/>
    <x v="3"/>
    <x v="4"/>
    <n v="25"/>
    <x v="2"/>
    <n v="75"/>
  </r>
  <r>
    <x v="6"/>
    <s v="BILL6379"/>
    <x v="3"/>
    <x v="3"/>
    <x v="2"/>
    <x v="0"/>
    <x v="1"/>
    <x v="0"/>
    <n v="50"/>
    <x v="1"/>
    <n v="180"/>
  </r>
  <r>
    <x v="7"/>
    <s v="BILL7705"/>
    <x v="2"/>
    <x v="2"/>
    <x v="1"/>
    <x v="0"/>
    <x v="0"/>
    <x v="5"/>
    <n v="25"/>
    <x v="1"/>
    <n v="157.5"/>
  </r>
  <r>
    <x v="8"/>
    <s v="BILL9611"/>
    <x v="0"/>
    <x v="0"/>
    <x v="0"/>
    <x v="1"/>
    <x v="1"/>
    <x v="6"/>
    <n v="60"/>
    <x v="2"/>
    <n v="300"/>
  </r>
  <r>
    <x v="9"/>
    <s v="BILL4145"/>
    <x v="4"/>
    <x v="4"/>
    <x v="0"/>
    <x v="0"/>
    <x v="3"/>
    <x v="0"/>
    <n v="120"/>
    <x v="2"/>
    <n v="480"/>
  </r>
  <r>
    <x v="10"/>
    <s v="BILL7520"/>
    <x v="1"/>
    <x v="1"/>
    <x v="1"/>
    <x v="3"/>
    <x v="0"/>
    <x v="1"/>
    <n v="35"/>
    <x v="1"/>
    <n v="63"/>
  </r>
  <r>
    <x v="11"/>
    <s v="BILL5921"/>
    <x v="3"/>
    <x v="3"/>
    <x v="2"/>
    <x v="2"/>
    <x v="2"/>
    <x v="2"/>
    <n v="50"/>
    <x v="2"/>
    <n v="400"/>
  </r>
  <r>
    <x v="12"/>
    <s v="BILL5824"/>
    <x v="5"/>
    <x v="5"/>
    <x v="2"/>
    <x v="0"/>
    <x v="3"/>
    <x v="2"/>
    <n v="20"/>
    <x v="1"/>
    <n v="144"/>
  </r>
  <r>
    <x v="13"/>
    <s v="BILL6017"/>
    <x v="4"/>
    <x v="4"/>
    <x v="0"/>
    <x v="3"/>
    <x v="2"/>
    <x v="5"/>
    <n v="120"/>
    <x v="2"/>
    <n v="840"/>
  </r>
  <r>
    <x v="14"/>
    <s v="BILL3651"/>
    <x v="4"/>
    <x v="4"/>
    <x v="0"/>
    <x v="0"/>
    <x v="4"/>
    <x v="6"/>
    <n v="120"/>
    <x v="2"/>
    <n v="600"/>
  </r>
  <r>
    <x v="15"/>
    <s v="BILL4343"/>
    <x v="0"/>
    <x v="0"/>
    <x v="0"/>
    <x v="2"/>
    <x v="3"/>
    <x v="7"/>
    <n v="60"/>
    <x v="0"/>
    <n v="57"/>
  </r>
  <r>
    <x v="16"/>
    <s v="BILL3335"/>
    <x v="0"/>
    <x v="0"/>
    <x v="0"/>
    <x v="2"/>
    <x v="4"/>
    <x v="8"/>
    <n v="60"/>
    <x v="0"/>
    <n v="513"/>
  </r>
  <r>
    <x v="17"/>
    <s v="BILL2106"/>
    <x v="3"/>
    <x v="3"/>
    <x v="2"/>
    <x v="1"/>
    <x v="3"/>
    <x v="4"/>
    <n v="50"/>
    <x v="0"/>
    <n v="142.5"/>
  </r>
  <r>
    <x v="18"/>
    <s v="BILL6145"/>
    <x v="0"/>
    <x v="0"/>
    <x v="0"/>
    <x v="0"/>
    <x v="2"/>
    <x v="8"/>
    <n v="60"/>
    <x v="0"/>
    <n v="513"/>
  </r>
  <r>
    <x v="19"/>
    <s v="BILL9351"/>
    <x v="3"/>
    <x v="3"/>
    <x v="2"/>
    <x v="0"/>
    <x v="1"/>
    <x v="6"/>
    <n v="50"/>
    <x v="1"/>
    <n v="225"/>
  </r>
  <r>
    <x v="20"/>
    <s v="BILL9791"/>
    <x v="2"/>
    <x v="2"/>
    <x v="1"/>
    <x v="3"/>
    <x v="4"/>
    <x v="6"/>
    <n v="25"/>
    <x v="2"/>
    <n v="125"/>
  </r>
  <r>
    <x v="21"/>
    <s v="BILL1224"/>
    <x v="0"/>
    <x v="0"/>
    <x v="0"/>
    <x v="1"/>
    <x v="3"/>
    <x v="6"/>
    <n v="60"/>
    <x v="2"/>
    <n v="300"/>
  </r>
  <r>
    <x v="22"/>
    <s v="BILL9116"/>
    <x v="4"/>
    <x v="4"/>
    <x v="0"/>
    <x v="3"/>
    <x v="1"/>
    <x v="7"/>
    <n v="120"/>
    <x v="0"/>
    <n v="114"/>
  </r>
  <r>
    <x v="5"/>
    <s v="BILL7794"/>
    <x v="0"/>
    <x v="0"/>
    <x v="0"/>
    <x v="3"/>
    <x v="3"/>
    <x v="8"/>
    <n v="60"/>
    <x v="1"/>
    <n v="486"/>
  </r>
  <r>
    <x v="23"/>
    <s v="BILL4452"/>
    <x v="0"/>
    <x v="0"/>
    <x v="0"/>
    <x v="1"/>
    <x v="3"/>
    <x v="5"/>
    <n v="60"/>
    <x v="2"/>
    <n v="420"/>
  </r>
  <r>
    <x v="24"/>
    <s v="BILL5362"/>
    <x v="2"/>
    <x v="2"/>
    <x v="1"/>
    <x v="3"/>
    <x v="1"/>
    <x v="4"/>
    <n v="25"/>
    <x v="0"/>
    <n v="71.25"/>
  </r>
  <r>
    <x v="25"/>
    <s v="BILL5422"/>
    <x v="3"/>
    <x v="3"/>
    <x v="2"/>
    <x v="3"/>
    <x v="0"/>
    <x v="3"/>
    <n v="50"/>
    <x v="0"/>
    <n v="285"/>
  </r>
  <r>
    <x v="0"/>
    <s v="BILL7743"/>
    <x v="5"/>
    <x v="5"/>
    <x v="2"/>
    <x v="1"/>
    <x v="4"/>
    <x v="4"/>
    <n v="20"/>
    <x v="1"/>
    <n v="54"/>
  </r>
  <r>
    <x v="26"/>
    <s v="BILL3823"/>
    <x v="0"/>
    <x v="0"/>
    <x v="0"/>
    <x v="1"/>
    <x v="2"/>
    <x v="6"/>
    <n v="60"/>
    <x v="0"/>
    <n v="285"/>
  </r>
  <r>
    <x v="27"/>
    <s v="BILL4712"/>
    <x v="3"/>
    <x v="3"/>
    <x v="2"/>
    <x v="2"/>
    <x v="1"/>
    <x v="2"/>
    <n v="50"/>
    <x v="1"/>
    <n v="360"/>
  </r>
  <r>
    <x v="7"/>
    <s v="BILL2649"/>
    <x v="1"/>
    <x v="1"/>
    <x v="1"/>
    <x v="2"/>
    <x v="4"/>
    <x v="4"/>
    <n v="35"/>
    <x v="0"/>
    <n v="99.75"/>
  </r>
  <r>
    <x v="28"/>
    <s v="BILL2486"/>
    <x v="4"/>
    <x v="4"/>
    <x v="0"/>
    <x v="0"/>
    <x v="2"/>
    <x v="2"/>
    <n v="120"/>
    <x v="2"/>
    <n v="960"/>
  </r>
  <r>
    <x v="29"/>
    <s v="BILL8844"/>
    <x v="4"/>
    <x v="4"/>
    <x v="0"/>
    <x v="3"/>
    <x v="4"/>
    <x v="2"/>
    <n v="120"/>
    <x v="1"/>
    <n v="864"/>
  </r>
  <r>
    <x v="30"/>
    <s v="BILL8336"/>
    <x v="4"/>
    <x v="4"/>
    <x v="0"/>
    <x v="2"/>
    <x v="1"/>
    <x v="3"/>
    <n v="120"/>
    <x v="1"/>
    <n v="648"/>
  </r>
  <r>
    <x v="31"/>
    <s v="BILL1610"/>
    <x v="2"/>
    <x v="2"/>
    <x v="1"/>
    <x v="1"/>
    <x v="0"/>
    <x v="0"/>
    <n v="25"/>
    <x v="2"/>
    <n v="100"/>
  </r>
  <r>
    <x v="3"/>
    <s v="BILL5413"/>
    <x v="2"/>
    <x v="2"/>
    <x v="1"/>
    <x v="2"/>
    <x v="0"/>
    <x v="3"/>
    <n v="25"/>
    <x v="2"/>
    <n v="150"/>
  </r>
  <r>
    <x v="12"/>
    <s v="BILL6861"/>
    <x v="0"/>
    <x v="0"/>
    <x v="0"/>
    <x v="3"/>
    <x v="4"/>
    <x v="0"/>
    <n v="60"/>
    <x v="0"/>
    <n v="228"/>
  </r>
  <r>
    <x v="32"/>
    <s v="BILL4065"/>
    <x v="4"/>
    <x v="4"/>
    <x v="0"/>
    <x v="3"/>
    <x v="3"/>
    <x v="2"/>
    <n v="120"/>
    <x v="0"/>
    <n v="912"/>
  </r>
  <r>
    <x v="33"/>
    <s v="BILL9466"/>
    <x v="4"/>
    <x v="4"/>
    <x v="0"/>
    <x v="0"/>
    <x v="0"/>
    <x v="5"/>
    <n v="120"/>
    <x v="0"/>
    <n v="798"/>
  </r>
  <r>
    <x v="34"/>
    <s v="BILL6424"/>
    <x v="0"/>
    <x v="0"/>
    <x v="0"/>
    <x v="1"/>
    <x v="0"/>
    <x v="6"/>
    <n v="60"/>
    <x v="2"/>
    <n v="300"/>
  </r>
  <r>
    <x v="35"/>
    <s v="BILL2483"/>
    <x v="1"/>
    <x v="1"/>
    <x v="1"/>
    <x v="0"/>
    <x v="3"/>
    <x v="0"/>
    <n v="35"/>
    <x v="1"/>
    <n v="126"/>
  </r>
  <r>
    <x v="36"/>
    <s v="BILL2451"/>
    <x v="0"/>
    <x v="0"/>
    <x v="0"/>
    <x v="2"/>
    <x v="2"/>
    <x v="4"/>
    <n v="60"/>
    <x v="0"/>
    <n v="171"/>
  </r>
  <r>
    <x v="37"/>
    <s v="BILL9395"/>
    <x v="2"/>
    <x v="2"/>
    <x v="1"/>
    <x v="3"/>
    <x v="4"/>
    <x v="3"/>
    <n v="25"/>
    <x v="1"/>
    <n v="135"/>
  </r>
  <r>
    <x v="38"/>
    <s v="BILL4695"/>
    <x v="3"/>
    <x v="3"/>
    <x v="2"/>
    <x v="1"/>
    <x v="0"/>
    <x v="1"/>
    <n v="50"/>
    <x v="0"/>
    <n v="95"/>
  </r>
  <r>
    <x v="39"/>
    <s v="BILL5049"/>
    <x v="3"/>
    <x v="3"/>
    <x v="2"/>
    <x v="0"/>
    <x v="3"/>
    <x v="8"/>
    <n v="50"/>
    <x v="1"/>
    <n v="405"/>
  </r>
  <r>
    <x v="40"/>
    <s v="BILL7751"/>
    <x v="2"/>
    <x v="2"/>
    <x v="1"/>
    <x v="1"/>
    <x v="1"/>
    <x v="0"/>
    <n v="25"/>
    <x v="2"/>
    <n v="100"/>
  </r>
  <r>
    <x v="41"/>
    <s v="BILL3693"/>
    <x v="1"/>
    <x v="1"/>
    <x v="1"/>
    <x v="2"/>
    <x v="2"/>
    <x v="5"/>
    <n v="35"/>
    <x v="2"/>
    <n v="245"/>
  </r>
  <r>
    <x v="42"/>
    <s v="BILL6850"/>
    <x v="0"/>
    <x v="0"/>
    <x v="0"/>
    <x v="0"/>
    <x v="4"/>
    <x v="1"/>
    <n v="60"/>
    <x v="0"/>
    <n v="114"/>
  </r>
  <r>
    <x v="43"/>
    <s v="BILL1657"/>
    <x v="5"/>
    <x v="5"/>
    <x v="2"/>
    <x v="2"/>
    <x v="2"/>
    <x v="0"/>
    <n v="20"/>
    <x v="2"/>
    <n v="80"/>
  </r>
  <r>
    <x v="44"/>
    <s v="BILL3716"/>
    <x v="1"/>
    <x v="1"/>
    <x v="1"/>
    <x v="0"/>
    <x v="2"/>
    <x v="5"/>
    <n v="35"/>
    <x v="0"/>
    <n v="232.75"/>
  </r>
  <r>
    <x v="45"/>
    <s v="BILL7726"/>
    <x v="1"/>
    <x v="1"/>
    <x v="1"/>
    <x v="1"/>
    <x v="4"/>
    <x v="2"/>
    <n v="35"/>
    <x v="2"/>
    <n v="280"/>
  </r>
  <r>
    <x v="46"/>
    <s v="BILL8124"/>
    <x v="1"/>
    <x v="1"/>
    <x v="1"/>
    <x v="0"/>
    <x v="2"/>
    <x v="1"/>
    <n v="35"/>
    <x v="0"/>
    <n v="66.5"/>
  </r>
  <r>
    <x v="47"/>
    <s v="BILL9175"/>
    <x v="0"/>
    <x v="0"/>
    <x v="0"/>
    <x v="1"/>
    <x v="0"/>
    <x v="6"/>
    <n v="60"/>
    <x v="0"/>
    <n v="285"/>
  </r>
  <r>
    <x v="17"/>
    <s v="BILL6490"/>
    <x v="0"/>
    <x v="0"/>
    <x v="0"/>
    <x v="2"/>
    <x v="0"/>
    <x v="5"/>
    <n v="60"/>
    <x v="0"/>
    <n v="399"/>
  </r>
  <r>
    <x v="44"/>
    <s v="BILL5899"/>
    <x v="2"/>
    <x v="2"/>
    <x v="1"/>
    <x v="0"/>
    <x v="0"/>
    <x v="2"/>
    <n v="25"/>
    <x v="1"/>
    <n v="180"/>
  </r>
  <r>
    <x v="26"/>
    <s v="BILL5183"/>
    <x v="4"/>
    <x v="4"/>
    <x v="0"/>
    <x v="1"/>
    <x v="4"/>
    <x v="0"/>
    <n v="120"/>
    <x v="1"/>
    <n v="432"/>
  </r>
  <r>
    <x v="48"/>
    <s v="BILL5157"/>
    <x v="0"/>
    <x v="0"/>
    <x v="0"/>
    <x v="0"/>
    <x v="4"/>
    <x v="2"/>
    <n v="60"/>
    <x v="2"/>
    <n v="480"/>
  </r>
  <r>
    <x v="49"/>
    <s v="BILL5665"/>
    <x v="5"/>
    <x v="5"/>
    <x v="2"/>
    <x v="2"/>
    <x v="3"/>
    <x v="3"/>
    <n v="20"/>
    <x v="0"/>
    <n v="114"/>
  </r>
  <r>
    <x v="50"/>
    <s v="BILL2990"/>
    <x v="1"/>
    <x v="1"/>
    <x v="1"/>
    <x v="1"/>
    <x v="4"/>
    <x v="3"/>
    <n v="35"/>
    <x v="2"/>
    <n v="210"/>
  </r>
  <r>
    <x v="51"/>
    <s v="BILL8325"/>
    <x v="1"/>
    <x v="1"/>
    <x v="1"/>
    <x v="2"/>
    <x v="1"/>
    <x v="8"/>
    <n v="35"/>
    <x v="0"/>
    <n v="299.25"/>
  </r>
  <r>
    <x v="52"/>
    <s v="BILL5294"/>
    <x v="5"/>
    <x v="5"/>
    <x v="2"/>
    <x v="1"/>
    <x v="0"/>
    <x v="8"/>
    <n v="20"/>
    <x v="2"/>
    <n v="180"/>
  </r>
  <r>
    <x v="53"/>
    <s v="BILL5549"/>
    <x v="4"/>
    <x v="4"/>
    <x v="0"/>
    <x v="3"/>
    <x v="3"/>
    <x v="2"/>
    <n v="120"/>
    <x v="2"/>
    <n v="960"/>
  </r>
  <r>
    <x v="54"/>
    <s v="BILL7896"/>
    <x v="3"/>
    <x v="3"/>
    <x v="2"/>
    <x v="0"/>
    <x v="1"/>
    <x v="5"/>
    <n v="50"/>
    <x v="2"/>
    <n v="350"/>
  </r>
  <r>
    <x v="17"/>
    <s v="BILL2584"/>
    <x v="0"/>
    <x v="0"/>
    <x v="0"/>
    <x v="2"/>
    <x v="1"/>
    <x v="7"/>
    <n v="60"/>
    <x v="0"/>
    <n v="57"/>
  </r>
  <r>
    <x v="55"/>
    <s v="BILL2727"/>
    <x v="0"/>
    <x v="0"/>
    <x v="0"/>
    <x v="1"/>
    <x v="0"/>
    <x v="1"/>
    <n v="60"/>
    <x v="2"/>
    <n v="120"/>
  </r>
  <r>
    <x v="50"/>
    <s v="BILL5282"/>
    <x v="2"/>
    <x v="2"/>
    <x v="1"/>
    <x v="0"/>
    <x v="3"/>
    <x v="2"/>
    <n v="25"/>
    <x v="2"/>
    <n v="200"/>
  </r>
  <r>
    <x v="34"/>
    <s v="BILL2364"/>
    <x v="1"/>
    <x v="1"/>
    <x v="1"/>
    <x v="2"/>
    <x v="4"/>
    <x v="0"/>
    <n v="35"/>
    <x v="2"/>
    <n v="140"/>
  </r>
  <r>
    <x v="56"/>
    <s v="BILL5316"/>
    <x v="2"/>
    <x v="2"/>
    <x v="1"/>
    <x v="1"/>
    <x v="0"/>
    <x v="2"/>
    <n v="25"/>
    <x v="0"/>
    <n v="190"/>
  </r>
  <r>
    <x v="41"/>
    <s v="BILL2215"/>
    <x v="4"/>
    <x v="4"/>
    <x v="0"/>
    <x v="2"/>
    <x v="0"/>
    <x v="7"/>
    <n v="120"/>
    <x v="0"/>
    <n v="114"/>
  </r>
  <r>
    <x v="9"/>
    <s v="BILL3215"/>
    <x v="1"/>
    <x v="1"/>
    <x v="1"/>
    <x v="3"/>
    <x v="4"/>
    <x v="8"/>
    <n v="35"/>
    <x v="1"/>
    <n v="283.5"/>
  </r>
  <r>
    <x v="48"/>
    <s v="BILL7422"/>
    <x v="0"/>
    <x v="0"/>
    <x v="0"/>
    <x v="2"/>
    <x v="0"/>
    <x v="3"/>
    <n v="60"/>
    <x v="0"/>
    <n v="342"/>
  </r>
  <r>
    <x v="35"/>
    <s v="BILL2945"/>
    <x v="2"/>
    <x v="2"/>
    <x v="1"/>
    <x v="1"/>
    <x v="4"/>
    <x v="2"/>
    <n v="25"/>
    <x v="2"/>
    <n v="200"/>
  </r>
  <r>
    <x v="57"/>
    <s v="BILL9776"/>
    <x v="0"/>
    <x v="0"/>
    <x v="0"/>
    <x v="3"/>
    <x v="2"/>
    <x v="7"/>
    <n v="60"/>
    <x v="1"/>
    <n v="54"/>
  </r>
  <r>
    <x v="26"/>
    <s v="BILL7893"/>
    <x v="1"/>
    <x v="1"/>
    <x v="1"/>
    <x v="0"/>
    <x v="0"/>
    <x v="1"/>
    <n v="35"/>
    <x v="0"/>
    <n v="66.5"/>
  </r>
  <r>
    <x v="58"/>
    <s v="BILL7081"/>
    <x v="3"/>
    <x v="3"/>
    <x v="2"/>
    <x v="0"/>
    <x v="4"/>
    <x v="7"/>
    <n v="50"/>
    <x v="0"/>
    <n v="47.5"/>
  </r>
  <r>
    <x v="5"/>
    <s v="BILL7028"/>
    <x v="5"/>
    <x v="5"/>
    <x v="2"/>
    <x v="2"/>
    <x v="0"/>
    <x v="5"/>
    <n v="20"/>
    <x v="2"/>
    <n v="140"/>
  </r>
  <r>
    <x v="59"/>
    <s v="BILL9840"/>
    <x v="3"/>
    <x v="3"/>
    <x v="2"/>
    <x v="2"/>
    <x v="0"/>
    <x v="7"/>
    <n v="50"/>
    <x v="2"/>
    <n v="50"/>
  </r>
  <r>
    <x v="27"/>
    <s v="BILL6968"/>
    <x v="1"/>
    <x v="1"/>
    <x v="1"/>
    <x v="2"/>
    <x v="1"/>
    <x v="7"/>
    <n v="35"/>
    <x v="1"/>
    <n v="31.5"/>
  </r>
  <r>
    <x v="60"/>
    <s v="BILL6206"/>
    <x v="4"/>
    <x v="4"/>
    <x v="0"/>
    <x v="3"/>
    <x v="3"/>
    <x v="7"/>
    <n v="120"/>
    <x v="1"/>
    <n v="108"/>
  </r>
  <r>
    <x v="61"/>
    <s v="BILL7034"/>
    <x v="3"/>
    <x v="3"/>
    <x v="2"/>
    <x v="1"/>
    <x v="3"/>
    <x v="0"/>
    <n v="50"/>
    <x v="2"/>
    <n v="200"/>
  </r>
  <r>
    <x v="62"/>
    <s v="BILL7514"/>
    <x v="5"/>
    <x v="5"/>
    <x v="2"/>
    <x v="2"/>
    <x v="2"/>
    <x v="5"/>
    <n v="20"/>
    <x v="2"/>
    <n v="140"/>
  </r>
  <r>
    <x v="18"/>
    <s v="BILL6761"/>
    <x v="0"/>
    <x v="0"/>
    <x v="0"/>
    <x v="3"/>
    <x v="4"/>
    <x v="1"/>
    <n v="60"/>
    <x v="1"/>
    <n v="108"/>
  </r>
  <r>
    <x v="63"/>
    <s v="BILL8379"/>
    <x v="3"/>
    <x v="3"/>
    <x v="2"/>
    <x v="0"/>
    <x v="3"/>
    <x v="8"/>
    <n v="50"/>
    <x v="0"/>
    <n v="427.5"/>
  </r>
  <r>
    <x v="64"/>
    <s v="BILL8071"/>
    <x v="2"/>
    <x v="2"/>
    <x v="1"/>
    <x v="2"/>
    <x v="0"/>
    <x v="5"/>
    <n v="25"/>
    <x v="0"/>
    <n v="166.25"/>
  </r>
  <r>
    <x v="65"/>
    <s v="BILL2256"/>
    <x v="0"/>
    <x v="0"/>
    <x v="0"/>
    <x v="2"/>
    <x v="4"/>
    <x v="7"/>
    <n v="60"/>
    <x v="1"/>
    <n v="54"/>
  </r>
  <r>
    <x v="39"/>
    <s v="BILL4262"/>
    <x v="1"/>
    <x v="1"/>
    <x v="1"/>
    <x v="0"/>
    <x v="4"/>
    <x v="7"/>
    <n v="35"/>
    <x v="1"/>
    <n v="31.5"/>
  </r>
  <r>
    <x v="26"/>
    <s v="BILL3701"/>
    <x v="0"/>
    <x v="0"/>
    <x v="0"/>
    <x v="0"/>
    <x v="4"/>
    <x v="4"/>
    <n v="60"/>
    <x v="1"/>
    <n v="162"/>
  </r>
  <r>
    <x v="3"/>
    <s v="BILL8688"/>
    <x v="3"/>
    <x v="3"/>
    <x v="2"/>
    <x v="1"/>
    <x v="1"/>
    <x v="8"/>
    <n v="50"/>
    <x v="2"/>
    <n v="450"/>
  </r>
  <r>
    <x v="66"/>
    <s v="BILL4000"/>
    <x v="3"/>
    <x v="3"/>
    <x v="2"/>
    <x v="2"/>
    <x v="1"/>
    <x v="6"/>
    <n v="50"/>
    <x v="0"/>
    <n v="237.5"/>
  </r>
  <r>
    <x v="67"/>
    <s v="BILL6729"/>
    <x v="2"/>
    <x v="2"/>
    <x v="1"/>
    <x v="2"/>
    <x v="1"/>
    <x v="0"/>
    <n v="25"/>
    <x v="1"/>
    <n v="90"/>
  </r>
  <r>
    <x v="68"/>
    <s v="BILL1606"/>
    <x v="1"/>
    <x v="1"/>
    <x v="1"/>
    <x v="1"/>
    <x v="3"/>
    <x v="8"/>
    <n v="35"/>
    <x v="2"/>
    <n v="315"/>
  </r>
  <r>
    <x v="69"/>
    <s v="BILL7851"/>
    <x v="0"/>
    <x v="0"/>
    <x v="0"/>
    <x v="1"/>
    <x v="2"/>
    <x v="5"/>
    <n v="60"/>
    <x v="2"/>
    <n v="420"/>
  </r>
  <r>
    <x v="17"/>
    <s v="BILL4870"/>
    <x v="3"/>
    <x v="3"/>
    <x v="2"/>
    <x v="0"/>
    <x v="2"/>
    <x v="3"/>
    <n v="50"/>
    <x v="2"/>
    <n v="300"/>
  </r>
  <r>
    <x v="70"/>
    <s v="BILL2465"/>
    <x v="3"/>
    <x v="3"/>
    <x v="2"/>
    <x v="0"/>
    <x v="1"/>
    <x v="2"/>
    <n v="50"/>
    <x v="2"/>
    <n v="400"/>
  </r>
  <r>
    <x v="55"/>
    <s v="BILL7373"/>
    <x v="3"/>
    <x v="3"/>
    <x v="2"/>
    <x v="1"/>
    <x v="1"/>
    <x v="8"/>
    <n v="50"/>
    <x v="2"/>
    <n v="450"/>
  </r>
  <r>
    <x v="71"/>
    <s v="BILL3028"/>
    <x v="3"/>
    <x v="3"/>
    <x v="2"/>
    <x v="3"/>
    <x v="4"/>
    <x v="7"/>
    <n v="50"/>
    <x v="1"/>
    <n v="45"/>
  </r>
  <r>
    <x v="72"/>
    <s v="BILL2586"/>
    <x v="3"/>
    <x v="3"/>
    <x v="2"/>
    <x v="3"/>
    <x v="4"/>
    <x v="4"/>
    <n v="50"/>
    <x v="2"/>
    <n v="150"/>
  </r>
  <r>
    <x v="73"/>
    <s v="BILL7932"/>
    <x v="3"/>
    <x v="3"/>
    <x v="2"/>
    <x v="1"/>
    <x v="1"/>
    <x v="8"/>
    <n v="50"/>
    <x v="1"/>
    <n v="405"/>
  </r>
  <r>
    <x v="22"/>
    <s v="BILL3120"/>
    <x v="1"/>
    <x v="1"/>
    <x v="1"/>
    <x v="1"/>
    <x v="4"/>
    <x v="6"/>
    <n v="35"/>
    <x v="1"/>
    <n v="157.5"/>
  </r>
  <r>
    <x v="74"/>
    <s v="BILL6162"/>
    <x v="5"/>
    <x v="5"/>
    <x v="2"/>
    <x v="0"/>
    <x v="3"/>
    <x v="3"/>
    <n v="20"/>
    <x v="0"/>
    <n v="114"/>
  </r>
  <r>
    <x v="75"/>
    <s v="BILL6978"/>
    <x v="2"/>
    <x v="2"/>
    <x v="1"/>
    <x v="1"/>
    <x v="0"/>
    <x v="2"/>
    <n v="25"/>
    <x v="2"/>
    <n v="200"/>
  </r>
  <r>
    <x v="76"/>
    <s v="BILL3621"/>
    <x v="2"/>
    <x v="2"/>
    <x v="1"/>
    <x v="0"/>
    <x v="3"/>
    <x v="6"/>
    <n v="25"/>
    <x v="2"/>
    <n v="125"/>
  </r>
  <r>
    <x v="31"/>
    <s v="BILL2593"/>
    <x v="4"/>
    <x v="4"/>
    <x v="0"/>
    <x v="3"/>
    <x v="1"/>
    <x v="3"/>
    <n v="120"/>
    <x v="1"/>
    <n v="648"/>
  </r>
  <r>
    <x v="65"/>
    <s v="BILL3696"/>
    <x v="1"/>
    <x v="1"/>
    <x v="1"/>
    <x v="2"/>
    <x v="0"/>
    <x v="3"/>
    <n v="35"/>
    <x v="1"/>
    <n v="189"/>
  </r>
  <r>
    <x v="77"/>
    <s v="BILL2782"/>
    <x v="3"/>
    <x v="3"/>
    <x v="2"/>
    <x v="2"/>
    <x v="1"/>
    <x v="0"/>
    <n v="50"/>
    <x v="2"/>
    <n v="200"/>
  </r>
  <r>
    <x v="29"/>
    <s v="BILL7895"/>
    <x v="5"/>
    <x v="5"/>
    <x v="2"/>
    <x v="3"/>
    <x v="4"/>
    <x v="5"/>
    <n v="20"/>
    <x v="1"/>
    <n v="126"/>
  </r>
  <r>
    <x v="78"/>
    <s v="BILL4150"/>
    <x v="3"/>
    <x v="3"/>
    <x v="2"/>
    <x v="1"/>
    <x v="0"/>
    <x v="6"/>
    <n v="50"/>
    <x v="0"/>
    <n v="237.5"/>
  </r>
  <r>
    <x v="34"/>
    <s v="BILL9083"/>
    <x v="3"/>
    <x v="3"/>
    <x v="2"/>
    <x v="2"/>
    <x v="3"/>
    <x v="2"/>
    <n v="50"/>
    <x v="2"/>
    <n v="400"/>
  </r>
  <r>
    <x v="79"/>
    <s v="BILL4426"/>
    <x v="3"/>
    <x v="3"/>
    <x v="2"/>
    <x v="1"/>
    <x v="4"/>
    <x v="4"/>
    <n v="50"/>
    <x v="1"/>
    <n v="135"/>
  </r>
  <r>
    <x v="80"/>
    <s v="BILL8550"/>
    <x v="1"/>
    <x v="1"/>
    <x v="1"/>
    <x v="2"/>
    <x v="0"/>
    <x v="7"/>
    <n v="35"/>
    <x v="2"/>
    <n v="35"/>
  </r>
  <r>
    <x v="29"/>
    <s v="BILL1791"/>
    <x v="5"/>
    <x v="5"/>
    <x v="2"/>
    <x v="1"/>
    <x v="2"/>
    <x v="2"/>
    <n v="20"/>
    <x v="0"/>
    <n v="152"/>
  </r>
  <r>
    <x v="81"/>
    <s v="BILL1518"/>
    <x v="0"/>
    <x v="0"/>
    <x v="0"/>
    <x v="0"/>
    <x v="2"/>
    <x v="4"/>
    <n v="60"/>
    <x v="0"/>
    <n v="171"/>
  </r>
  <r>
    <x v="78"/>
    <s v="BILL7915"/>
    <x v="2"/>
    <x v="2"/>
    <x v="1"/>
    <x v="2"/>
    <x v="1"/>
    <x v="0"/>
    <n v="25"/>
    <x v="2"/>
    <n v="100"/>
  </r>
  <r>
    <x v="69"/>
    <s v="BILL6441"/>
    <x v="0"/>
    <x v="0"/>
    <x v="0"/>
    <x v="1"/>
    <x v="0"/>
    <x v="5"/>
    <n v="60"/>
    <x v="0"/>
    <n v="399"/>
  </r>
  <r>
    <x v="82"/>
    <s v="BILL8025"/>
    <x v="0"/>
    <x v="0"/>
    <x v="0"/>
    <x v="1"/>
    <x v="1"/>
    <x v="0"/>
    <n v="60"/>
    <x v="0"/>
    <n v="228"/>
  </r>
  <r>
    <x v="72"/>
    <s v="BILL8499"/>
    <x v="2"/>
    <x v="2"/>
    <x v="1"/>
    <x v="2"/>
    <x v="1"/>
    <x v="2"/>
    <n v="25"/>
    <x v="0"/>
    <n v="190"/>
  </r>
  <r>
    <x v="83"/>
    <s v="BILL4857"/>
    <x v="2"/>
    <x v="2"/>
    <x v="1"/>
    <x v="1"/>
    <x v="4"/>
    <x v="2"/>
    <n v="25"/>
    <x v="1"/>
    <n v="180"/>
  </r>
  <r>
    <x v="18"/>
    <s v="BILL2220"/>
    <x v="5"/>
    <x v="5"/>
    <x v="2"/>
    <x v="2"/>
    <x v="3"/>
    <x v="4"/>
    <n v="20"/>
    <x v="1"/>
    <n v="54"/>
  </r>
  <r>
    <x v="38"/>
    <s v="BILL1914"/>
    <x v="5"/>
    <x v="5"/>
    <x v="2"/>
    <x v="1"/>
    <x v="4"/>
    <x v="3"/>
    <n v="20"/>
    <x v="2"/>
    <n v="120"/>
  </r>
  <r>
    <x v="27"/>
    <s v="BILL5680"/>
    <x v="5"/>
    <x v="5"/>
    <x v="2"/>
    <x v="0"/>
    <x v="1"/>
    <x v="6"/>
    <n v="20"/>
    <x v="1"/>
    <n v="90"/>
  </r>
  <r>
    <x v="84"/>
    <s v="BILL9566"/>
    <x v="5"/>
    <x v="5"/>
    <x v="2"/>
    <x v="2"/>
    <x v="3"/>
    <x v="2"/>
    <n v="20"/>
    <x v="0"/>
    <n v="152"/>
  </r>
  <r>
    <x v="85"/>
    <s v="BILL7111"/>
    <x v="4"/>
    <x v="4"/>
    <x v="0"/>
    <x v="2"/>
    <x v="1"/>
    <x v="2"/>
    <n v="120"/>
    <x v="1"/>
    <n v="864"/>
  </r>
  <r>
    <x v="86"/>
    <s v="BILL7445"/>
    <x v="5"/>
    <x v="5"/>
    <x v="2"/>
    <x v="3"/>
    <x v="0"/>
    <x v="2"/>
    <n v="20"/>
    <x v="0"/>
    <n v="152"/>
  </r>
  <r>
    <x v="87"/>
    <s v="BILL3333"/>
    <x v="3"/>
    <x v="3"/>
    <x v="2"/>
    <x v="1"/>
    <x v="1"/>
    <x v="3"/>
    <n v="50"/>
    <x v="0"/>
    <n v="285"/>
  </r>
  <r>
    <x v="4"/>
    <s v="BILL7028"/>
    <x v="2"/>
    <x v="2"/>
    <x v="1"/>
    <x v="0"/>
    <x v="3"/>
    <x v="1"/>
    <n v="25"/>
    <x v="1"/>
    <n v="45"/>
  </r>
  <r>
    <x v="88"/>
    <s v="BILL9341"/>
    <x v="3"/>
    <x v="3"/>
    <x v="2"/>
    <x v="0"/>
    <x v="4"/>
    <x v="6"/>
    <n v="50"/>
    <x v="1"/>
    <n v="225"/>
  </r>
  <r>
    <x v="89"/>
    <s v="BILL4616"/>
    <x v="1"/>
    <x v="1"/>
    <x v="1"/>
    <x v="0"/>
    <x v="2"/>
    <x v="3"/>
    <n v="35"/>
    <x v="0"/>
    <n v="199.5"/>
  </r>
  <r>
    <x v="90"/>
    <s v="BILL4259"/>
    <x v="4"/>
    <x v="4"/>
    <x v="0"/>
    <x v="3"/>
    <x v="4"/>
    <x v="6"/>
    <n v="120"/>
    <x v="0"/>
    <n v="570"/>
  </r>
  <r>
    <x v="45"/>
    <s v="BILL2535"/>
    <x v="1"/>
    <x v="1"/>
    <x v="1"/>
    <x v="3"/>
    <x v="0"/>
    <x v="5"/>
    <n v="35"/>
    <x v="1"/>
    <n v="220.5"/>
  </r>
  <r>
    <x v="91"/>
    <s v="BILL1153"/>
    <x v="4"/>
    <x v="4"/>
    <x v="0"/>
    <x v="0"/>
    <x v="1"/>
    <x v="1"/>
    <n v="120"/>
    <x v="0"/>
    <n v="228"/>
  </r>
  <r>
    <x v="71"/>
    <s v="BILL3228"/>
    <x v="5"/>
    <x v="5"/>
    <x v="2"/>
    <x v="2"/>
    <x v="2"/>
    <x v="4"/>
    <n v="20"/>
    <x v="0"/>
    <n v="57"/>
  </r>
  <r>
    <x v="36"/>
    <s v="BILL8559"/>
    <x v="0"/>
    <x v="0"/>
    <x v="0"/>
    <x v="2"/>
    <x v="3"/>
    <x v="1"/>
    <n v="60"/>
    <x v="1"/>
    <n v="108"/>
  </r>
  <r>
    <x v="92"/>
    <s v="BILL1437"/>
    <x v="5"/>
    <x v="5"/>
    <x v="2"/>
    <x v="2"/>
    <x v="1"/>
    <x v="8"/>
    <n v="20"/>
    <x v="1"/>
    <n v="162"/>
  </r>
  <r>
    <x v="93"/>
    <s v="BILL3162"/>
    <x v="4"/>
    <x v="4"/>
    <x v="0"/>
    <x v="0"/>
    <x v="4"/>
    <x v="5"/>
    <n v="120"/>
    <x v="1"/>
    <n v="756"/>
  </r>
  <r>
    <x v="94"/>
    <s v="BILL4298"/>
    <x v="2"/>
    <x v="2"/>
    <x v="1"/>
    <x v="3"/>
    <x v="0"/>
    <x v="5"/>
    <n v="25"/>
    <x v="0"/>
    <n v="166.25"/>
  </r>
  <r>
    <x v="95"/>
    <s v="BILL1072"/>
    <x v="5"/>
    <x v="5"/>
    <x v="2"/>
    <x v="0"/>
    <x v="3"/>
    <x v="2"/>
    <n v="20"/>
    <x v="0"/>
    <n v="152"/>
  </r>
  <r>
    <x v="5"/>
    <s v="BILL6476"/>
    <x v="2"/>
    <x v="2"/>
    <x v="1"/>
    <x v="2"/>
    <x v="3"/>
    <x v="6"/>
    <n v="25"/>
    <x v="2"/>
    <n v="125"/>
  </r>
  <r>
    <x v="25"/>
    <s v="BILL7075"/>
    <x v="2"/>
    <x v="2"/>
    <x v="1"/>
    <x v="1"/>
    <x v="2"/>
    <x v="1"/>
    <n v="25"/>
    <x v="2"/>
    <n v="50"/>
  </r>
  <r>
    <x v="17"/>
    <s v="BILL5810"/>
    <x v="1"/>
    <x v="1"/>
    <x v="1"/>
    <x v="3"/>
    <x v="3"/>
    <x v="6"/>
    <n v="35"/>
    <x v="2"/>
    <n v="175"/>
  </r>
  <r>
    <x v="59"/>
    <s v="BILL4360"/>
    <x v="0"/>
    <x v="0"/>
    <x v="0"/>
    <x v="1"/>
    <x v="4"/>
    <x v="6"/>
    <n v="60"/>
    <x v="1"/>
    <n v="270"/>
  </r>
  <r>
    <x v="96"/>
    <s v="BILL1461"/>
    <x v="1"/>
    <x v="1"/>
    <x v="1"/>
    <x v="0"/>
    <x v="3"/>
    <x v="0"/>
    <n v="35"/>
    <x v="1"/>
    <n v="126"/>
  </r>
  <r>
    <x v="97"/>
    <s v="BILL8738"/>
    <x v="0"/>
    <x v="0"/>
    <x v="0"/>
    <x v="0"/>
    <x v="3"/>
    <x v="4"/>
    <n v="60"/>
    <x v="0"/>
    <n v="171"/>
  </r>
  <r>
    <x v="57"/>
    <s v="BILL7989"/>
    <x v="2"/>
    <x v="2"/>
    <x v="1"/>
    <x v="3"/>
    <x v="3"/>
    <x v="1"/>
    <n v="25"/>
    <x v="2"/>
    <n v="50"/>
  </r>
  <r>
    <x v="94"/>
    <s v="BILL6686"/>
    <x v="2"/>
    <x v="2"/>
    <x v="1"/>
    <x v="2"/>
    <x v="4"/>
    <x v="0"/>
    <n v="25"/>
    <x v="0"/>
    <n v="95"/>
  </r>
  <r>
    <x v="3"/>
    <s v="BILL7629"/>
    <x v="1"/>
    <x v="1"/>
    <x v="1"/>
    <x v="2"/>
    <x v="4"/>
    <x v="6"/>
    <n v="35"/>
    <x v="0"/>
    <n v="166.25"/>
  </r>
  <r>
    <x v="35"/>
    <s v="BILL5071"/>
    <x v="4"/>
    <x v="4"/>
    <x v="0"/>
    <x v="0"/>
    <x v="1"/>
    <x v="8"/>
    <n v="120"/>
    <x v="1"/>
    <n v="972"/>
  </r>
  <r>
    <x v="98"/>
    <s v="BILL6367"/>
    <x v="1"/>
    <x v="1"/>
    <x v="1"/>
    <x v="1"/>
    <x v="4"/>
    <x v="0"/>
    <n v="35"/>
    <x v="2"/>
    <n v="140"/>
  </r>
  <r>
    <x v="99"/>
    <s v="BILL4361"/>
    <x v="2"/>
    <x v="2"/>
    <x v="1"/>
    <x v="1"/>
    <x v="1"/>
    <x v="5"/>
    <n v="25"/>
    <x v="1"/>
    <n v="157.5"/>
  </r>
  <r>
    <x v="57"/>
    <s v="BILL9032"/>
    <x v="0"/>
    <x v="0"/>
    <x v="0"/>
    <x v="1"/>
    <x v="0"/>
    <x v="1"/>
    <n v="60"/>
    <x v="0"/>
    <n v="114"/>
  </r>
  <r>
    <x v="26"/>
    <s v="BILL1756"/>
    <x v="0"/>
    <x v="0"/>
    <x v="0"/>
    <x v="0"/>
    <x v="3"/>
    <x v="0"/>
    <n v="60"/>
    <x v="0"/>
    <n v="22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I101"/>
    <x v="0"/>
    <s v="Grocery"/>
    <n v="25"/>
    <n v="119"/>
    <n v="35"/>
    <n v="1190"/>
  </r>
  <r>
    <s v="I102"/>
    <x v="1"/>
    <s v="Grocery"/>
    <n v="15"/>
    <n v="151"/>
    <n v="25"/>
    <n v="1510"/>
  </r>
  <r>
    <s v="I201"/>
    <x v="2"/>
    <s v="Cosmetics"/>
    <n v="90"/>
    <n v="105"/>
    <n v="120"/>
    <n v="3150"/>
  </r>
  <r>
    <s v="I202"/>
    <x v="3"/>
    <s v="Cosmetics"/>
    <n v="40"/>
    <n v="149"/>
    <n v="60"/>
    <n v="2980"/>
  </r>
  <r>
    <s v="I301"/>
    <x v="4"/>
    <s v="Snacks"/>
    <n v="10"/>
    <n v="115"/>
    <n v="20"/>
    <n v="1150"/>
  </r>
  <r>
    <s v="I302"/>
    <x v="5"/>
    <s v="Snacks"/>
    <n v="30"/>
    <n v="154"/>
    <n v="50"/>
    <n v="30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50CE16-5ACD-4831-9F57-581541EBE5E4}"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7" firstHeaderRow="1" firstDataRow="1" firstDataCol="1"/>
  <pivotFields count="13">
    <pivotField numFmtId="164" showAll="0">
      <items count="101">
        <item x="87"/>
        <item x="46"/>
        <item x="38"/>
        <item x="56"/>
        <item x="23"/>
        <item x="69"/>
        <item x="62"/>
        <item x="79"/>
        <item x="44"/>
        <item x="40"/>
        <item x="3"/>
        <item x="17"/>
        <item x="83"/>
        <item x="98"/>
        <item x="96"/>
        <item x="91"/>
        <item x="85"/>
        <item x="31"/>
        <item x="47"/>
        <item x="99"/>
        <item x="60"/>
        <item x="42"/>
        <item x="65"/>
        <item x="54"/>
        <item x="67"/>
        <item x="88"/>
        <item x="15"/>
        <item x="0"/>
        <item x="86"/>
        <item x="14"/>
        <item x="59"/>
        <item x="52"/>
        <item x="75"/>
        <item x="16"/>
        <item x="27"/>
        <item x="26"/>
        <item x="90"/>
        <item x="8"/>
        <item x="81"/>
        <item x="78"/>
        <item x="34"/>
        <item x="48"/>
        <item x="77"/>
        <item x="33"/>
        <item x="71"/>
        <item x="72"/>
        <item x="49"/>
        <item x="57"/>
        <item x="30"/>
        <item x="82"/>
        <item x="70"/>
        <item x="97"/>
        <item x="32"/>
        <item x="36"/>
        <item x="64"/>
        <item x="58"/>
        <item x="76"/>
        <item x="20"/>
        <item x="29"/>
        <item x="93"/>
        <item x="41"/>
        <item x="19"/>
        <item x="4"/>
        <item x="12"/>
        <item x="37"/>
        <item x="1"/>
        <item x="2"/>
        <item x="10"/>
        <item x="61"/>
        <item x="39"/>
        <item x="5"/>
        <item x="11"/>
        <item x="35"/>
        <item x="21"/>
        <item x="7"/>
        <item x="68"/>
        <item x="24"/>
        <item x="25"/>
        <item x="51"/>
        <item x="50"/>
        <item x="74"/>
        <item x="55"/>
        <item x="73"/>
        <item x="89"/>
        <item x="43"/>
        <item x="95"/>
        <item x="63"/>
        <item x="9"/>
        <item x="80"/>
        <item x="84"/>
        <item x="92"/>
        <item x="28"/>
        <item x="94"/>
        <item x="6"/>
        <item x="13"/>
        <item x="22"/>
        <item x="53"/>
        <item x="18"/>
        <item x="66"/>
        <item x="45"/>
        <item t="default"/>
      </items>
    </pivotField>
    <pivotField showAll="0"/>
    <pivotField showAll="0"/>
    <pivotField showAll="0">
      <items count="7">
        <item x="5"/>
        <item x="2"/>
        <item x="3"/>
        <item x="1"/>
        <item x="4"/>
        <item x="0"/>
        <item t="default"/>
      </items>
    </pivotField>
    <pivotField axis="axisRow" showAll="0">
      <items count="4">
        <item x="0"/>
        <item x="1"/>
        <item x="2"/>
        <item t="default"/>
      </items>
    </pivotField>
    <pivotField axis="axisRow" showAll="0">
      <items count="5">
        <item x="0"/>
        <item x="2"/>
        <item x="3"/>
        <item x="1"/>
        <item t="default"/>
      </items>
    </pivotField>
    <pivotField showAll="0">
      <items count="6">
        <item x="4"/>
        <item x="0"/>
        <item x="2"/>
        <item x="3"/>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5"/>
  </rowFields>
  <rowItems count="16">
    <i>
      <x/>
    </i>
    <i r="1">
      <x/>
    </i>
    <i r="1">
      <x v="1"/>
    </i>
    <i r="1">
      <x v="2"/>
    </i>
    <i r="1">
      <x v="3"/>
    </i>
    <i>
      <x v="1"/>
    </i>
    <i r="1">
      <x/>
    </i>
    <i r="1">
      <x v="1"/>
    </i>
    <i r="1">
      <x v="2"/>
    </i>
    <i r="1">
      <x v="3"/>
    </i>
    <i>
      <x v="2"/>
    </i>
    <i r="1">
      <x/>
    </i>
    <i r="1">
      <x v="1"/>
    </i>
    <i r="1">
      <x v="2"/>
    </i>
    <i r="1">
      <x v="3"/>
    </i>
    <i t="grand">
      <x/>
    </i>
  </rowItems>
  <colItems count="1">
    <i/>
  </colItems>
  <dataFields count="1">
    <dataField name="Sum of Total_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E3C82C-9150-47EB-9CB2-7365367E3A6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7" firstHeaderRow="1" firstDataRow="1" firstDataCol="1"/>
  <pivotFields count="13">
    <pivotField numFmtId="164" showAll="0">
      <items count="101">
        <item x="87"/>
        <item x="46"/>
        <item x="38"/>
        <item x="56"/>
        <item x="23"/>
        <item x="69"/>
        <item x="62"/>
        <item x="79"/>
        <item x="44"/>
        <item x="40"/>
        <item x="3"/>
        <item x="17"/>
        <item x="83"/>
        <item x="98"/>
        <item x="96"/>
        <item x="91"/>
        <item x="85"/>
        <item x="31"/>
        <item x="47"/>
        <item x="99"/>
        <item x="60"/>
        <item x="42"/>
        <item x="65"/>
        <item x="54"/>
        <item x="67"/>
        <item x="88"/>
        <item x="15"/>
        <item x="0"/>
        <item x="86"/>
        <item x="14"/>
        <item x="59"/>
        <item x="52"/>
        <item x="75"/>
        <item x="16"/>
        <item x="27"/>
        <item x="26"/>
        <item x="90"/>
        <item x="8"/>
        <item x="81"/>
        <item x="78"/>
        <item x="34"/>
        <item x="48"/>
        <item x="77"/>
        <item x="33"/>
        <item x="71"/>
        <item x="72"/>
        <item x="49"/>
        <item x="57"/>
        <item x="30"/>
        <item x="82"/>
        <item x="70"/>
        <item x="97"/>
        <item x="32"/>
        <item x="36"/>
        <item x="64"/>
        <item x="58"/>
        <item x="76"/>
        <item x="20"/>
        <item x="29"/>
        <item x="93"/>
        <item x="41"/>
        <item x="19"/>
        <item x="4"/>
        <item x="12"/>
        <item x="37"/>
        <item x="1"/>
        <item x="2"/>
        <item x="10"/>
        <item x="61"/>
        <item x="39"/>
        <item x="5"/>
        <item x="11"/>
        <item x="35"/>
        <item x="21"/>
        <item x="7"/>
        <item x="68"/>
        <item x="24"/>
        <item x="25"/>
        <item x="51"/>
        <item x="50"/>
        <item x="74"/>
        <item x="55"/>
        <item x="73"/>
        <item x="89"/>
        <item x="43"/>
        <item x="95"/>
        <item x="63"/>
        <item x="9"/>
        <item x="80"/>
        <item x="84"/>
        <item x="92"/>
        <item x="28"/>
        <item x="94"/>
        <item x="6"/>
        <item x="13"/>
        <item x="22"/>
        <item x="53"/>
        <item x="18"/>
        <item x="66"/>
        <item x="45"/>
        <item t="default"/>
      </items>
    </pivotField>
    <pivotField showAll="0"/>
    <pivotField showAll="0"/>
    <pivotField showAll="0">
      <items count="7">
        <item x="5"/>
        <item x="2"/>
        <item x="3"/>
        <item x="1"/>
        <item x="4"/>
        <item x="0"/>
        <item t="default"/>
      </items>
    </pivotField>
    <pivotField showAll="0">
      <items count="4">
        <item x="0"/>
        <item x="1"/>
        <item x="2"/>
        <item t="default"/>
      </items>
    </pivotField>
    <pivotField showAll="0">
      <items count="5">
        <item x="0"/>
        <item x="2"/>
        <item x="3"/>
        <item x="1"/>
        <item t="default"/>
      </items>
    </pivotField>
    <pivotField axis="axisRow" showAll="0">
      <items count="6">
        <item x="4"/>
        <item x="0"/>
        <item x="2"/>
        <item x="3"/>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Total_Sales" fld="10" baseField="6" baseItem="0" numFmtId="10">
      <extLst>
        <ext xmlns:x14="http://schemas.microsoft.com/office/spreadsheetml/2009/9/main" uri="{E15A36E0-9728-4e99-A89B-3F7291B0FE68}">
          <x14:dataField pivotShowAs="percentOfParentRow"/>
        </ext>
      </extLst>
    </dataField>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6" format="16">
      <pivotArea type="data" outline="0" fieldPosition="0">
        <references count="2">
          <reference field="4294967294" count="1" selected="0">
            <x v="0"/>
          </reference>
          <reference field="6" count="1" selected="0">
            <x v="3"/>
          </reference>
        </references>
      </pivotArea>
    </chartFormat>
    <chartFormat chart="6"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916376-C8EF-44EE-8DFE-42884A16E103}"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0" firstHeaderRow="1" firstDataRow="1" firstDataCol="1"/>
  <pivotFields count="13">
    <pivotField numFmtId="164" showAll="0">
      <items count="101">
        <item x="87"/>
        <item x="46"/>
        <item x="38"/>
        <item x="56"/>
        <item x="23"/>
        <item x="69"/>
        <item x="62"/>
        <item x="79"/>
        <item x="44"/>
        <item x="40"/>
        <item x="3"/>
        <item x="17"/>
        <item x="83"/>
        <item x="98"/>
        <item x="96"/>
        <item x="91"/>
        <item x="85"/>
        <item x="31"/>
        <item x="47"/>
        <item x="99"/>
        <item x="60"/>
        <item x="42"/>
        <item x="65"/>
        <item x="54"/>
        <item x="67"/>
        <item x="88"/>
        <item x="15"/>
        <item x="0"/>
        <item x="86"/>
        <item x="14"/>
        <item x="59"/>
        <item x="52"/>
        <item x="75"/>
        <item x="16"/>
        <item x="27"/>
        <item x="26"/>
        <item x="90"/>
        <item x="8"/>
        <item x="81"/>
        <item x="78"/>
        <item x="34"/>
        <item x="48"/>
        <item x="77"/>
        <item x="33"/>
        <item x="71"/>
        <item x="72"/>
        <item x="49"/>
        <item x="57"/>
        <item x="30"/>
        <item x="82"/>
        <item x="70"/>
        <item x="97"/>
        <item x="32"/>
        <item x="36"/>
        <item x="64"/>
        <item x="58"/>
        <item x="76"/>
        <item x="20"/>
        <item x="29"/>
        <item x="93"/>
        <item x="41"/>
        <item x="19"/>
        <item x="4"/>
        <item x="12"/>
        <item x="37"/>
        <item x="1"/>
        <item x="2"/>
        <item x="10"/>
        <item x="61"/>
        <item x="39"/>
        <item x="5"/>
        <item x="11"/>
        <item x="35"/>
        <item x="21"/>
        <item x="7"/>
        <item x="68"/>
        <item x="24"/>
        <item x="25"/>
        <item x="51"/>
        <item x="50"/>
        <item x="74"/>
        <item x="55"/>
        <item x="73"/>
        <item x="89"/>
        <item x="43"/>
        <item x="95"/>
        <item x="63"/>
        <item x="9"/>
        <item x="80"/>
        <item x="84"/>
        <item x="92"/>
        <item x="28"/>
        <item x="94"/>
        <item x="6"/>
        <item x="13"/>
        <item x="22"/>
        <item x="53"/>
        <item x="18"/>
        <item x="66"/>
        <item x="45"/>
        <item t="default"/>
      </items>
    </pivotField>
    <pivotField showAll="0"/>
    <pivotField showAll="0">
      <items count="7">
        <item x="1"/>
        <item x="2"/>
        <item x="4"/>
        <item x="0"/>
        <item x="5"/>
        <item x="3"/>
        <item t="default"/>
      </items>
    </pivotField>
    <pivotField axis="axisRow" showAll="0">
      <items count="7">
        <item x="5"/>
        <item x="2"/>
        <item x="3"/>
        <item x="1"/>
        <item x="4"/>
        <item x="0"/>
        <item t="default"/>
      </items>
    </pivotField>
    <pivotField showAll="0">
      <items count="4">
        <item x="0"/>
        <item x="1"/>
        <item x="2"/>
        <item t="default"/>
      </items>
    </pivotField>
    <pivotField showAll="0">
      <items count="5">
        <item x="0"/>
        <item x="2"/>
        <item x="3"/>
        <item x="1"/>
        <item t="default"/>
      </items>
    </pivotField>
    <pivotField showAll="0">
      <items count="6">
        <item x="4"/>
        <item x="0"/>
        <item x="2"/>
        <item x="3"/>
        <item x="1"/>
        <item t="default"/>
      </items>
    </pivotField>
    <pivotField showAll="0"/>
    <pivotField showAll="0"/>
    <pivotField dataField="1" showAll="0">
      <items count="4">
        <item x="2"/>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Average of Discount_%" fld="9" subtotal="average" baseField="9" baseItem="0" numFmtId="2"/>
  </dataFields>
  <formats count="1">
    <format dxfId="4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B4BFC1-7C11-431B-B24A-761D24158A27}"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3">
    <pivotField numFmtId="164" showAll="0">
      <items count="101">
        <item x="87"/>
        <item x="46"/>
        <item x="38"/>
        <item x="56"/>
        <item x="23"/>
        <item x="69"/>
        <item x="62"/>
        <item x="79"/>
        <item x="44"/>
        <item x="40"/>
        <item x="3"/>
        <item x="17"/>
        <item x="83"/>
        <item x="98"/>
        <item x="96"/>
        <item x="91"/>
        <item x="85"/>
        <item x="31"/>
        <item x="47"/>
        <item x="99"/>
        <item x="60"/>
        <item x="42"/>
        <item x="65"/>
        <item x="54"/>
        <item x="67"/>
        <item x="88"/>
        <item x="15"/>
        <item x="0"/>
        <item x="86"/>
        <item x="14"/>
        <item x="59"/>
        <item x="52"/>
        <item x="75"/>
        <item x="16"/>
        <item x="27"/>
        <item x="26"/>
        <item x="90"/>
        <item x="8"/>
        <item x="81"/>
        <item x="78"/>
        <item x="34"/>
        <item x="48"/>
        <item x="77"/>
        <item x="33"/>
        <item x="71"/>
        <item x="72"/>
        <item x="49"/>
        <item x="57"/>
        <item x="30"/>
        <item x="82"/>
        <item x="70"/>
        <item x="97"/>
        <item x="32"/>
        <item x="36"/>
        <item x="64"/>
        <item x="58"/>
        <item x="76"/>
        <item x="20"/>
        <item x="29"/>
        <item x="93"/>
        <item x="41"/>
        <item x="19"/>
        <item x="4"/>
        <item x="12"/>
        <item x="37"/>
        <item x="1"/>
        <item x="2"/>
        <item x="10"/>
        <item x="61"/>
        <item x="39"/>
        <item x="5"/>
        <item x="11"/>
        <item x="35"/>
        <item x="21"/>
        <item x="7"/>
        <item x="68"/>
        <item x="24"/>
        <item x="25"/>
        <item x="51"/>
        <item x="50"/>
        <item x="74"/>
        <item x="55"/>
        <item x="73"/>
        <item x="89"/>
        <item x="43"/>
        <item x="95"/>
        <item x="63"/>
        <item x="9"/>
        <item x="80"/>
        <item x="84"/>
        <item x="92"/>
        <item x="28"/>
        <item x="94"/>
        <item x="6"/>
        <item x="13"/>
        <item x="22"/>
        <item x="53"/>
        <item x="18"/>
        <item x="66"/>
        <item x="45"/>
        <item t="default"/>
      </items>
    </pivotField>
    <pivotField showAll="0"/>
    <pivotField showAll="0"/>
    <pivotField axis="axisRow" showAll="0">
      <items count="7">
        <item x="5"/>
        <item x="2"/>
        <item x="3"/>
        <item x="1"/>
        <item x="4"/>
        <item x="0"/>
        <item t="default"/>
      </items>
    </pivotField>
    <pivotField showAll="0"/>
    <pivotField showAll="0">
      <items count="5">
        <item x="0"/>
        <item x="2"/>
        <item x="3"/>
        <item x="1"/>
        <item t="default"/>
      </items>
    </pivotField>
    <pivotField showAll="0">
      <items count="6">
        <item x="4"/>
        <item x="0"/>
        <item x="2"/>
        <item x="3"/>
        <item x="1"/>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A70F0B-DF44-4F2E-8904-1B101A39180E}"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8:P15" firstHeaderRow="1" firstDataRow="1" firstDataCol="1"/>
  <pivotFields count="13">
    <pivotField numFmtId="164" showAll="0">
      <items count="101">
        <item x="87"/>
        <item x="46"/>
        <item x="38"/>
        <item x="56"/>
        <item x="23"/>
        <item x="69"/>
        <item x="62"/>
        <item x="79"/>
        <item x="44"/>
        <item x="40"/>
        <item x="3"/>
        <item x="17"/>
        <item x="83"/>
        <item x="98"/>
        <item x="96"/>
        <item x="91"/>
        <item x="85"/>
        <item x="31"/>
        <item x="47"/>
        <item x="99"/>
        <item x="60"/>
        <item x="42"/>
        <item x="65"/>
        <item x="54"/>
        <item x="67"/>
        <item x="88"/>
        <item x="15"/>
        <item x="0"/>
        <item x="86"/>
        <item x="14"/>
        <item x="59"/>
        <item x="52"/>
        <item x="75"/>
        <item x="16"/>
        <item x="27"/>
        <item x="26"/>
        <item x="90"/>
        <item x="8"/>
        <item x="81"/>
        <item x="78"/>
        <item x="34"/>
        <item x="48"/>
        <item x="77"/>
        <item x="33"/>
        <item x="71"/>
        <item x="72"/>
        <item x="49"/>
        <item x="57"/>
        <item x="30"/>
        <item x="82"/>
        <item x="70"/>
        <item x="97"/>
        <item x="32"/>
        <item x="36"/>
        <item x="64"/>
        <item x="58"/>
        <item x="76"/>
        <item x="20"/>
        <item x="29"/>
        <item x="93"/>
        <item x="41"/>
        <item x="19"/>
        <item x="4"/>
        <item x="12"/>
        <item x="37"/>
        <item x="1"/>
        <item x="2"/>
        <item x="10"/>
        <item x="61"/>
        <item x="39"/>
        <item x="5"/>
        <item x="11"/>
        <item x="35"/>
        <item x="21"/>
        <item x="7"/>
        <item x="68"/>
        <item x="24"/>
        <item x="25"/>
        <item x="51"/>
        <item x="50"/>
        <item x="74"/>
        <item x="55"/>
        <item x="73"/>
        <item x="89"/>
        <item x="43"/>
        <item x="95"/>
        <item x="63"/>
        <item x="9"/>
        <item x="80"/>
        <item x="84"/>
        <item x="92"/>
        <item x="28"/>
        <item x="94"/>
        <item x="6"/>
        <item x="13"/>
        <item x="22"/>
        <item x="53"/>
        <item x="18"/>
        <item x="66"/>
        <item x="45"/>
        <item t="default"/>
      </items>
    </pivotField>
    <pivotField showAll="0"/>
    <pivotField axis="axisRow" showAll="0">
      <items count="7">
        <item x="1"/>
        <item x="2"/>
        <item x="4"/>
        <item x="0"/>
        <item x="5"/>
        <item x="3"/>
        <item t="default"/>
      </items>
    </pivotField>
    <pivotField showAll="0">
      <items count="7">
        <item x="5"/>
        <item x="2"/>
        <item x="3"/>
        <item x="1"/>
        <item x="4"/>
        <item x="0"/>
        <item t="default"/>
      </items>
    </pivotField>
    <pivotField showAll="0">
      <items count="4">
        <item x="0"/>
        <item x="1"/>
        <item x="2"/>
        <item t="default"/>
      </items>
    </pivotField>
    <pivotField showAll="0">
      <items count="5">
        <item x="0"/>
        <item x="2"/>
        <item x="3"/>
        <item x="1"/>
        <item t="default"/>
      </items>
    </pivotField>
    <pivotField showAll="0">
      <items count="6">
        <item x="4"/>
        <item x="0"/>
        <item x="2"/>
        <item x="3"/>
        <item x="1"/>
        <item t="default"/>
      </items>
    </pivotField>
    <pivotField dataField="1" showAll="0">
      <items count="10">
        <item x="7"/>
        <item x="1"/>
        <item x="4"/>
        <item x="0"/>
        <item x="6"/>
        <item x="3"/>
        <item x="5"/>
        <item x="2"/>
        <item x="8"/>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3FCA73-2BA8-4ADE-A53E-289666CD79BC}"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8:K15" firstHeaderRow="1" firstDataRow="1" firstDataCol="1"/>
  <pivotFields count="7">
    <pivotField showAll="0"/>
    <pivotField axis="axisRow" showAll="0">
      <items count="7">
        <item x="4"/>
        <item x="1"/>
        <item x="5"/>
        <item x="0"/>
        <item x="2"/>
        <item x="3"/>
        <item t="default"/>
      </items>
    </pivotField>
    <pivotField showAll="0"/>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Sum of Profit" fld="6"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BF2FC84A-5F0D-4B33-A08D-8085938C0DA7}" sourceName="Item_Name">
  <pivotTables>
    <pivotTable tabId="6" name="PivotTable3"/>
    <pivotTable tabId="5" name="PivotTable2"/>
    <pivotTable tabId="7" name="PivotTable4"/>
    <pivotTable tabId="8" name="PivotTable5"/>
    <pivotTable tabId="2" name="PivotTable6"/>
  </pivotTables>
  <data>
    <tabular pivotCacheId="1193639359">
      <items count="6">
        <i x="5" s="1"/>
        <i x="2" s="1"/>
        <i x="3"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D91266-EC64-424C-8669-6DE5E655AF24}" sourceName="Region">
  <pivotTables>
    <pivotTable tabId="6" name="PivotTable3"/>
    <pivotTable tabId="5" name="PivotTable2"/>
    <pivotTable tabId="7" name="PivotTable4"/>
    <pivotTable tabId="8" name="PivotTable5"/>
    <pivotTable tabId="2" name="PivotTable6"/>
  </pivotTables>
  <data>
    <tabular pivotCacheId="1193639359">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ff" xr10:uid="{3E3346BD-A284-430D-8857-A3E6CDAF2C25}" sourceName="Staff">
  <pivotTables>
    <pivotTable tabId="6" name="PivotTable3"/>
    <pivotTable tabId="5" name="PivotTable2"/>
    <pivotTable tabId="7" name="PivotTable4"/>
    <pivotTable tabId="8" name="PivotTable5"/>
    <pivotTable tabId="2" name="PivotTable6"/>
  </pivotTables>
  <data>
    <tabular pivotCacheId="1193639359">
      <items count="5">
        <i x="4" s="1"/>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415AD93-89A1-469D-BEF0-DE0F19A0AC0E}" sourceName="Months (Date)">
  <pivotTables>
    <pivotTable tabId="6" name="PivotTable3"/>
    <pivotTable tabId="5" name="PivotTable2"/>
    <pivotTable tabId="7" name="PivotTable4"/>
    <pivotTable tabId="8" name="PivotTable5"/>
    <pivotTable tabId="2" name="PivotTable6"/>
  </pivotTables>
  <data>
    <tabular pivotCacheId="1193639359">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Name" xr10:uid="{ADFCB96F-E5DA-4BDC-B353-A19DDAEE8384}" cache="Slicer_Item_Name" caption="Item_Name" rowHeight="234950"/>
  <slicer name="Region" xr10:uid="{3546C435-345D-4CF7-8B2E-ADB8E7733AB8}" cache="Slicer_Region" caption="Region" rowHeight="234950"/>
  <slicer name="Staff" xr10:uid="{0F258ED4-E3E3-4407-8F15-88CE5E099BE2}" cache="Slicer_Staff" caption="Staff" rowHeight="234950"/>
  <slicer name="Months (Date)" xr10:uid="{2E8B1218-969D-41FF-8EFD-D6EBC6A39FC5}" cache="Slicer_Months__Date" caption="Month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EFB49F-25B6-4315-8ACD-0CAA6069853A}" name="Table3" displayName="Table3" ref="A1:K152" totalsRowCount="1" headerRowDxfId="43" headerRowBorderDxfId="42" tableBorderDxfId="41" totalsRowBorderDxfId="40">
  <autoFilter ref="A1:K151" xr:uid="{84EFB49F-25B6-4315-8ACD-0CAA6069853A}"/>
  <tableColumns count="11">
    <tableColumn id="1" xr3:uid="{724287D4-5E4C-4E77-8A44-DDA688CF27DB}" name="Date" dataDxfId="39" totalsRowDxfId="38"/>
    <tableColumn id="2" xr3:uid="{892F65CD-80ED-4A81-BCB3-3E5AF6BDABB2}" name="Bill_No" dataDxfId="37" totalsRowDxfId="36"/>
    <tableColumn id="3" xr3:uid="{401A9ED9-3B92-40F3-8193-90BD7D8872EE}" name="Item_ID" dataDxfId="35" totalsRowDxfId="34"/>
    <tableColumn id="4" xr3:uid="{577CF132-0459-4300-AB68-0BEEFF78B3A6}" name="Item_Name" dataDxfId="33" totalsRowDxfId="32"/>
    <tableColumn id="5" xr3:uid="{596CA5E6-DF62-458D-A79C-8FAF07A2AE68}" name="Category" dataDxfId="31" totalsRowDxfId="30"/>
    <tableColumn id="6" xr3:uid="{251370FA-49C6-4B3E-85FA-FEC1D89A7C02}" name="Region" dataDxfId="29" totalsRowDxfId="28"/>
    <tableColumn id="7" xr3:uid="{2E0FF188-5F1E-4476-90E0-B6663412E427}" name="Staff" dataDxfId="27" totalsRowDxfId="26"/>
    <tableColumn id="8" xr3:uid="{51FB778B-E598-4EB4-A2DD-A82F745540A4}" name="Quantity" dataDxfId="25" totalsRowDxfId="24"/>
    <tableColumn id="9" xr3:uid="{F67FF3A6-2753-44F3-8F53-5E9A232EB95F}" name="Unit_Price" dataDxfId="23" totalsRowDxfId="22"/>
    <tableColumn id="10" xr3:uid="{6BC1AA57-2F19-49A5-820E-B1433FB75225}" name="Discount_%" dataDxfId="21" totalsRowDxfId="20"/>
    <tableColumn id="11" xr3:uid="{A354B82D-85B3-4F2A-B5CA-81976ECB53A4}" name="Total_Sales" totalsRowFunction="custom" dataDxfId="19" totalsRowDxfId="18">
      <totalsRowFormula>SUM(Table3[Total_Sales])</totalsRow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202A2E-11BA-49E6-B986-A2788FDD39B9}" name="Table1" displayName="Table1" ref="A1:G8" totalsRowCount="1" headerRowDxfId="17" headerRowBorderDxfId="16" tableBorderDxfId="15" totalsRowBorderDxfId="14">
  <autoFilter ref="A1:G7" xr:uid="{5D202A2E-11BA-49E6-B986-A2788FDD39B9}"/>
  <tableColumns count="7">
    <tableColumn id="1" xr3:uid="{D84DDAD4-EF52-4764-BC3B-9889E8321E67}" name="Item_ID" totalsRowLabel="Total" dataDxfId="13" totalsRowDxfId="12"/>
    <tableColumn id="2" xr3:uid="{6E99BB35-11E1-4AD5-A31B-5BE84880CEF7}" name="Item_Name" totalsRowFunction="count" dataDxfId="11" totalsRowDxfId="10"/>
    <tableColumn id="3" xr3:uid="{9DB5AF34-A517-4F59-AD47-32552893306B}" name="Category" dataDxfId="9" totalsRowDxfId="8"/>
    <tableColumn id="4" xr3:uid="{D524D666-C32E-4291-B88D-2CD1643BC3D5}" name="Cost_Price" dataDxfId="7" totalsRowDxfId="6"/>
    <tableColumn id="5" xr3:uid="{5E3BDACB-A6D7-44C7-A114-026BBBB4C303}" name="Q" dataDxfId="5" totalsRowDxfId="4"/>
    <tableColumn id="6" xr3:uid="{C1B82D63-D18F-4D5F-98C1-D021C0E7A141}" name="Selling_Price" dataDxfId="3" totalsRowDxfId="2"/>
    <tableColumn id="7" xr3:uid="{3157D9CE-1FB5-4BC6-B56D-53FF3E6681D1}" name="Profit" totalsRowFunction="sum" dataDxfId="1" totalsRowDxfId="0">
      <calculatedColumnFormula>(Table1[[#This Row],[Selling_Price]]-Table1[[#This Row],[Cost_Price]])*Table1[[#This Row],[Q]]</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8299-0FE0-40FF-A281-169AE63C679A}">
  <dimension ref="A1:B17"/>
  <sheetViews>
    <sheetView workbookViewId="0">
      <selection activeCell="E22" sqref="E22"/>
    </sheetView>
  </sheetViews>
  <sheetFormatPr defaultRowHeight="14.4" x14ac:dyDescent="0.3"/>
  <cols>
    <col min="1" max="1" width="12.5546875" bestFit="1" customWidth="1"/>
    <col min="2" max="2" width="17" bestFit="1" customWidth="1"/>
  </cols>
  <sheetData>
    <row r="1" spans="1:2" x14ac:dyDescent="0.3">
      <c r="A1" s="3" t="s">
        <v>196</v>
      </c>
      <c r="B1" t="s">
        <v>198</v>
      </c>
    </row>
    <row r="2" spans="1:2" x14ac:dyDescent="0.3">
      <c r="A2" s="4" t="s">
        <v>14</v>
      </c>
      <c r="B2" s="39">
        <v>20385</v>
      </c>
    </row>
    <row r="3" spans="1:2" x14ac:dyDescent="0.3">
      <c r="A3" s="5" t="s">
        <v>15</v>
      </c>
      <c r="B3" s="39">
        <v>6861</v>
      </c>
    </row>
    <row r="4" spans="1:2" x14ac:dyDescent="0.3">
      <c r="A4" s="5" t="s">
        <v>30</v>
      </c>
      <c r="B4" s="39">
        <v>3327</v>
      </c>
    </row>
    <row r="5" spans="1:2" x14ac:dyDescent="0.3">
      <c r="A5" s="5" t="s">
        <v>33</v>
      </c>
      <c r="B5" s="39">
        <v>6324</v>
      </c>
    </row>
    <row r="6" spans="1:2" x14ac:dyDescent="0.3">
      <c r="A6" s="5" t="s">
        <v>21</v>
      </c>
      <c r="B6" s="39">
        <v>3873</v>
      </c>
    </row>
    <row r="7" spans="1:2" x14ac:dyDescent="0.3">
      <c r="A7" s="4" t="s">
        <v>20</v>
      </c>
      <c r="B7" s="39">
        <v>7565.75</v>
      </c>
    </row>
    <row r="8" spans="1:2" x14ac:dyDescent="0.3">
      <c r="A8" s="5" t="s">
        <v>15</v>
      </c>
      <c r="B8" s="39">
        <v>1556.25</v>
      </c>
    </row>
    <row r="9" spans="1:2" x14ac:dyDescent="0.3">
      <c r="A9" s="5" t="s">
        <v>30</v>
      </c>
      <c r="B9" s="39">
        <v>2197</v>
      </c>
    </row>
    <row r="10" spans="1:2" x14ac:dyDescent="0.3">
      <c r="A10" s="5" t="s">
        <v>33</v>
      </c>
      <c r="B10" s="39">
        <v>1289.5</v>
      </c>
    </row>
    <row r="11" spans="1:2" x14ac:dyDescent="0.3">
      <c r="A11" s="5" t="s">
        <v>21</v>
      </c>
      <c r="B11" s="39">
        <v>2523</v>
      </c>
    </row>
    <row r="12" spans="1:2" x14ac:dyDescent="0.3">
      <c r="A12" s="4" t="s">
        <v>29</v>
      </c>
      <c r="B12" s="39">
        <v>9555.5</v>
      </c>
    </row>
    <row r="13" spans="1:2" x14ac:dyDescent="0.3">
      <c r="A13" s="5" t="s">
        <v>15</v>
      </c>
      <c r="B13" s="39">
        <v>3060</v>
      </c>
    </row>
    <row r="14" spans="1:2" x14ac:dyDescent="0.3">
      <c r="A14" s="5" t="s">
        <v>30</v>
      </c>
      <c r="B14" s="39">
        <v>2831.5</v>
      </c>
    </row>
    <row r="15" spans="1:2" x14ac:dyDescent="0.3">
      <c r="A15" s="5" t="s">
        <v>33</v>
      </c>
      <c r="B15" s="39">
        <v>758</v>
      </c>
    </row>
    <row r="16" spans="1:2" x14ac:dyDescent="0.3">
      <c r="A16" s="5" t="s">
        <v>21</v>
      </c>
      <c r="B16" s="39">
        <v>2906</v>
      </c>
    </row>
    <row r="17" spans="1:2" x14ac:dyDescent="0.3">
      <c r="A17" s="4" t="s">
        <v>197</v>
      </c>
      <c r="B17" s="39">
        <v>37506.25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BB30-2FD6-4E1B-B9B8-267956D67B1D}">
  <dimension ref="A1:B7"/>
  <sheetViews>
    <sheetView workbookViewId="0">
      <selection activeCell="M18" sqref="M18"/>
    </sheetView>
  </sheetViews>
  <sheetFormatPr defaultRowHeight="14.4" x14ac:dyDescent="0.3"/>
  <cols>
    <col min="1" max="1" width="12.5546875" bestFit="1" customWidth="1"/>
    <col min="2" max="2" width="17" bestFit="1" customWidth="1"/>
  </cols>
  <sheetData>
    <row r="1" spans="1:2" x14ac:dyDescent="0.3">
      <c r="A1" s="3" t="s">
        <v>196</v>
      </c>
      <c r="B1" t="s">
        <v>198</v>
      </c>
    </row>
    <row r="2" spans="1:2" x14ac:dyDescent="0.3">
      <c r="A2" s="4" t="s">
        <v>49</v>
      </c>
      <c r="B2" s="9">
        <v>0.22121646392267955</v>
      </c>
    </row>
    <row r="3" spans="1:2" x14ac:dyDescent="0.3">
      <c r="A3" s="4" t="s">
        <v>16</v>
      </c>
      <c r="B3" s="9">
        <v>0.16803866022329611</v>
      </c>
    </row>
    <row r="4" spans="1:2" x14ac:dyDescent="0.3">
      <c r="A4" s="4" t="s">
        <v>31</v>
      </c>
      <c r="B4" s="9">
        <v>0.16140643226128978</v>
      </c>
    </row>
    <row r="5" spans="1:2" x14ac:dyDescent="0.3">
      <c r="A5" s="4" t="s">
        <v>35</v>
      </c>
      <c r="B5" s="9">
        <v>0.21055157473754374</v>
      </c>
    </row>
    <row r="6" spans="1:2" x14ac:dyDescent="0.3">
      <c r="A6" s="4" t="s">
        <v>22</v>
      </c>
      <c r="B6" s="9">
        <v>0.23878686885519079</v>
      </c>
    </row>
    <row r="7" spans="1:2" x14ac:dyDescent="0.3">
      <c r="A7" s="4" t="s">
        <v>197</v>
      </c>
      <c r="B7" s="9">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33F4E-06B2-4A28-9E51-D85CC0DE30F2}">
  <dimension ref="A3:B10"/>
  <sheetViews>
    <sheetView workbookViewId="0">
      <selection activeCell="B19" sqref="B19"/>
    </sheetView>
  </sheetViews>
  <sheetFormatPr defaultRowHeight="14.4" x14ac:dyDescent="0.3"/>
  <cols>
    <col min="1" max="1" width="12.5546875" bestFit="1" customWidth="1"/>
    <col min="2" max="2" width="20.5546875" bestFit="1" customWidth="1"/>
    <col min="3" max="8" width="12" bestFit="1" customWidth="1"/>
  </cols>
  <sheetData>
    <row r="3" spans="1:2" x14ac:dyDescent="0.3">
      <c r="A3" s="3" t="s">
        <v>196</v>
      </c>
      <c r="B3" t="s">
        <v>205</v>
      </c>
    </row>
    <row r="4" spans="1:2" x14ac:dyDescent="0.3">
      <c r="A4" s="4" t="s">
        <v>46</v>
      </c>
      <c r="B4" s="10">
        <v>5.2777777777777777</v>
      </c>
    </row>
    <row r="5" spans="1:2" x14ac:dyDescent="0.3">
      <c r="A5" s="4" t="s">
        <v>25</v>
      </c>
      <c r="B5" s="10">
        <v>4.0740740740740744</v>
      </c>
    </row>
    <row r="6" spans="1:2" x14ac:dyDescent="0.3">
      <c r="A6" s="4" t="s">
        <v>28</v>
      </c>
      <c r="B6" s="10">
        <v>4.4642857142857144</v>
      </c>
    </row>
    <row r="7" spans="1:2" x14ac:dyDescent="0.3">
      <c r="A7" s="4" t="s">
        <v>19</v>
      </c>
      <c r="B7" s="10">
        <v>5.4</v>
      </c>
    </row>
    <row r="8" spans="1:2" x14ac:dyDescent="0.3">
      <c r="A8" s="4" t="s">
        <v>41</v>
      </c>
      <c r="B8" s="10">
        <v>5.7894736842105265</v>
      </c>
    </row>
    <row r="9" spans="1:2" x14ac:dyDescent="0.3">
      <c r="A9" s="4" t="s">
        <v>13</v>
      </c>
      <c r="B9" s="10">
        <v>5.1515151515151514</v>
      </c>
    </row>
    <row r="10" spans="1:2" x14ac:dyDescent="0.3">
      <c r="A10" s="4" t="s">
        <v>197</v>
      </c>
      <c r="B10" s="10">
        <v>4.9666666666666668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DFB0B-0D1D-4B6B-9C57-77104BD93EDD}">
  <dimension ref="A3:B10"/>
  <sheetViews>
    <sheetView workbookViewId="0">
      <selection activeCell="O5" sqref="O5"/>
    </sheetView>
  </sheetViews>
  <sheetFormatPr defaultRowHeight="14.4" x14ac:dyDescent="0.3"/>
  <cols>
    <col min="1" max="1" width="12.5546875" bestFit="1" customWidth="1"/>
    <col min="2" max="2" width="14.88671875" bestFit="1" customWidth="1"/>
  </cols>
  <sheetData>
    <row r="3" spans="1:2" x14ac:dyDescent="0.3">
      <c r="A3" s="3" t="s">
        <v>196</v>
      </c>
      <c r="B3" t="s">
        <v>206</v>
      </c>
    </row>
    <row r="4" spans="1:2" x14ac:dyDescent="0.3">
      <c r="A4" s="4" t="s">
        <v>46</v>
      </c>
      <c r="B4" s="39">
        <v>115</v>
      </c>
    </row>
    <row r="5" spans="1:2" x14ac:dyDescent="0.3">
      <c r="A5" s="4" t="s">
        <v>25</v>
      </c>
      <c r="B5" s="39">
        <v>151</v>
      </c>
    </row>
    <row r="6" spans="1:2" x14ac:dyDescent="0.3">
      <c r="A6" s="4" t="s">
        <v>28</v>
      </c>
      <c r="B6" s="39">
        <v>154</v>
      </c>
    </row>
    <row r="7" spans="1:2" x14ac:dyDescent="0.3">
      <c r="A7" s="4" t="s">
        <v>19</v>
      </c>
      <c r="B7" s="39">
        <v>119</v>
      </c>
    </row>
    <row r="8" spans="1:2" x14ac:dyDescent="0.3">
      <c r="A8" s="4" t="s">
        <v>41</v>
      </c>
      <c r="B8" s="39">
        <v>105</v>
      </c>
    </row>
    <row r="9" spans="1:2" x14ac:dyDescent="0.3">
      <c r="A9" s="4" t="s">
        <v>13</v>
      </c>
      <c r="B9" s="39">
        <v>149</v>
      </c>
    </row>
    <row r="10" spans="1:2" x14ac:dyDescent="0.3">
      <c r="A10" s="4" t="s">
        <v>197</v>
      </c>
      <c r="B10" s="39">
        <v>793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2"/>
  <sheetViews>
    <sheetView workbookViewId="0">
      <selection activeCell="K152" sqref="K152"/>
    </sheetView>
  </sheetViews>
  <sheetFormatPr defaultRowHeight="14.4" x14ac:dyDescent="0.3"/>
  <cols>
    <col min="1" max="1" width="18.109375" bestFit="1" customWidth="1"/>
    <col min="2" max="2" width="8.77734375" customWidth="1"/>
    <col min="3" max="3" width="9.5546875" customWidth="1"/>
    <col min="4" max="4" width="12.77734375" customWidth="1"/>
    <col min="5" max="5" width="10.44140625" customWidth="1"/>
    <col min="6" max="6" width="8.6640625" customWidth="1"/>
    <col min="7" max="7" width="6.88671875" customWidth="1"/>
    <col min="8" max="8" width="10.21875" customWidth="1"/>
    <col min="9" max="9" width="11.5546875" customWidth="1"/>
    <col min="10" max="10" width="12.6640625" customWidth="1"/>
    <col min="11" max="11" width="12.33203125" customWidth="1"/>
    <col min="16" max="16" width="47" bestFit="1" customWidth="1"/>
  </cols>
  <sheetData>
    <row r="1" spans="1:16" x14ac:dyDescent="0.3">
      <c r="A1" s="23" t="s">
        <v>0</v>
      </c>
      <c r="B1" s="24" t="s">
        <v>1</v>
      </c>
      <c r="C1" s="24" t="s">
        <v>2</v>
      </c>
      <c r="D1" s="24" t="s">
        <v>3</v>
      </c>
      <c r="E1" s="24" t="s">
        <v>4</v>
      </c>
      <c r="F1" s="24" t="s">
        <v>5</v>
      </c>
      <c r="G1" s="24" t="s">
        <v>6</v>
      </c>
      <c r="H1" s="24" t="s">
        <v>7</v>
      </c>
      <c r="I1" s="24" t="s">
        <v>8</v>
      </c>
      <c r="J1" s="24" t="s">
        <v>9</v>
      </c>
      <c r="K1" s="26" t="s">
        <v>10</v>
      </c>
    </row>
    <row r="2" spans="1:16" x14ac:dyDescent="0.3">
      <c r="A2" s="31">
        <v>45713</v>
      </c>
      <c r="B2" s="1" t="s">
        <v>11</v>
      </c>
      <c r="C2" s="1" t="s">
        <v>12</v>
      </c>
      <c r="D2" s="1" t="s">
        <v>13</v>
      </c>
      <c r="E2" s="1" t="s">
        <v>14</v>
      </c>
      <c r="F2" s="1" t="s">
        <v>15</v>
      </c>
      <c r="G2" s="1" t="s">
        <v>16</v>
      </c>
      <c r="H2" s="1">
        <v>4</v>
      </c>
      <c r="I2" s="1">
        <v>60</v>
      </c>
      <c r="J2" s="1">
        <v>5</v>
      </c>
      <c r="K2" s="22">
        <v>228</v>
      </c>
    </row>
    <row r="3" spans="1:16" x14ac:dyDescent="0.3">
      <c r="A3" s="31">
        <v>45786</v>
      </c>
      <c r="B3" s="1" t="s">
        <v>17</v>
      </c>
      <c r="C3" s="1" t="s">
        <v>18</v>
      </c>
      <c r="D3" s="1" t="s">
        <v>19</v>
      </c>
      <c r="E3" s="1" t="s">
        <v>20</v>
      </c>
      <c r="F3" s="1" t="s">
        <v>21</v>
      </c>
      <c r="G3" s="1" t="s">
        <v>22</v>
      </c>
      <c r="H3" s="1">
        <v>2</v>
      </c>
      <c r="I3" s="1">
        <v>35</v>
      </c>
      <c r="J3" s="1">
        <v>10</v>
      </c>
      <c r="K3" s="22">
        <v>63</v>
      </c>
    </row>
    <row r="4" spans="1:16" x14ac:dyDescent="0.3">
      <c r="A4" s="31">
        <v>45789</v>
      </c>
      <c r="B4" s="1" t="s">
        <v>23</v>
      </c>
      <c r="C4" s="1" t="s">
        <v>24</v>
      </c>
      <c r="D4" s="1" t="s">
        <v>25</v>
      </c>
      <c r="E4" s="1" t="s">
        <v>20</v>
      </c>
      <c r="F4" s="1" t="s">
        <v>21</v>
      </c>
      <c r="G4" s="1" t="s">
        <v>16</v>
      </c>
      <c r="H4" s="1">
        <v>8</v>
      </c>
      <c r="I4" s="1">
        <v>25</v>
      </c>
      <c r="J4" s="1">
        <v>10</v>
      </c>
      <c r="K4" s="22">
        <v>180</v>
      </c>
    </row>
    <row r="5" spans="1:16" x14ac:dyDescent="0.3">
      <c r="A5" s="31">
        <v>45679</v>
      </c>
      <c r="B5" s="1" t="s">
        <v>26</v>
      </c>
      <c r="C5" s="1" t="s">
        <v>27</v>
      </c>
      <c r="D5" s="1" t="s">
        <v>28</v>
      </c>
      <c r="E5" s="1" t="s">
        <v>29</v>
      </c>
      <c r="F5" s="1" t="s">
        <v>30</v>
      </c>
      <c r="G5" s="1" t="s">
        <v>31</v>
      </c>
      <c r="H5" s="1">
        <v>6</v>
      </c>
      <c r="I5" s="1">
        <v>50</v>
      </c>
      <c r="J5" s="1">
        <v>5</v>
      </c>
      <c r="K5" s="22">
        <v>285</v>
      </c>
    </row>
    <row r="6" spans="1:16" x14ac:dyDescent="0.3">
      <c r="A6" s="31">
        <v>45780</v>
      </c>
      <c r="B6" s="1" t="s">
        <v>32</v>
      </c>
      <c r="C6" s="1" t="s">
        <v>12</v>
      </c>
      <c r="D6" s="1" t="s">
        <v>13</v>
      </c>
      <c r="E6" s="1" t="s">
        <v>14</v>
      </c>
      <c r="F6" s="1" t="s">
        <v>33</v>
      </c>
      <c r="G6" s="1" t="s">
        <v>31</v>
      </c>
      <c r="H6" s="1">
        <v>8</v>
      </c>
      <c r="I6" s="1">
        <v>60</v>
      </c>
      <c r="J6" s="1">
        <v>10</v>
      </c>
      <c r="K6" s="22">
        <v>432</v>
      </c>
    </row>
    <row r="7" spans="1:16" x14ac:dyDescent="0.3">
      <c r="A7" s="31">
        <v>45795</v>
      </c>
      <c r="B7" s="1" t="s">
        <v>34</v>
      </c>
      <c r="C7" s="1" t="s">
        <v>24</v>
      </c>
      <c r="D7" s="1" t="s">
        <v>25</v>
      </c>
      <c r="E7" s="1" t="s">
        <v>20</v>
      </c>
      <c r="F7" s="1" t="s">
        <v>30</v>
      </c>
      <c r="G7" s="1" t="s">
        <v>35</v>
      </c>
      <c r="H7" s="1">
        <v>3</v>
      </c>
      <c r="I7" s="1">
        <v>25</v>
      </c>
      <c r="J7" s="1">
        <v>0</v>
      </c>
      <c r="K7" s="22">
        <v>75</v>
      </c>
    </row>
    <row r="8" spans="1:16" x14ac:dyDescent="0.3">
      <c r="A8" s="31">
        <v>45827</v>
      </c>
      <c r="B8" s="1" t="s">
        <v>36</v>
      </c>
      <c r="C8" s="1" t="s">
        <v>27</v>
      </c>
      <c r="D8" s="1" t="s">
        <v>28</v>
      </c>
      <c r="E8" s="1" t="s">
        <v>29</v>
      </c>
      <c r="F8" s="1" t="s">
        <v>15</v>
      </c>
      <c r="G8" s="1" t="s">
        <v>22</v>
      </c>
      <c r="H8" s="1">
        <v>4</v>
      </c>
      <c r="I8" s="1">
        <v>50</v>
      </c>
      <c r="J8" s="1">
        <v>10</v>
      </c>
      <c r="K8" s="22">
        <v>180</v>
      </c>
    </row>
    <row r="9" spans="1:16" x14ac:dyDescent="0.3">
      <c r="A9" s="31">
        <v>45799</v>
      </c>
      <c r="B9" s="1" t="s">
        <v>37</v>
      </c>
      <c r="C9" s="1" t="s">
        <v>24</v>
      </c>
      <c r="D9" s="1" t="s">
        <v>25</v>
      </c>
      <c r="E9" s="1" t="s">
        <v>20</v>
      </c>
      <c r="F9" s="1" t="s">
        <v>15</v>
      </c>
      <c r="G9" s="1" t="s">
        <v>16</v>
      </c>
      <c r="H9" s="1">
        <v>7</v>
      </c>
      <c r="I9" s="1">
        <v>25</v>
      </c>
      <c r="J9" s="1">
        <v>10</v>
      </c>
      <c r="K9" s="22">
        <v>157.5</v>
      </c>
    </row>
    <row r="10" spans="1:16" ht="18.600000000000001" customHeight="1" x14ac:dyDescent="0.3">
      <c r="A10" s="31">
        <v>45735</v>
      </c>
      <c r="B10" s="1" t="s">
        <v>38</v>
      </c>
      <c r="C10" s="1" t="s">
        <v>12</v>
      </c>
      <c r="D10" s="1" t="s">
        <v>13</v>
      </c>
      <c r="E10" s="1" t="s">
        <v>14</v>
      </c>
      <c r="F10" s="1" t="s">
        <v>21</v>
      </c>
      <c r="G10" s="1" t="s">
        <v>22</v>
      </c>
      <c r="H10" s="1">
        <v>5</v>
      </c>
      <c r="I10" s="1">
        <v>60</v>
      </c>
      <c r="J10" s="1">
        <v>0</v>
      </c>
      <c r="K10" s="22">
        <v>300</v>
      </c>
    </row>
    <row r="11" spans="1:16" ht="18" customHeight="1" x14ac:dyDescent="0.3">
      <c r="A11" s="31">
        <v>45818</v>
      </c>
      <c r="B11" s="1" t="s">
        <v>39</v>
      </c>
      <c r="C11" s="1" t="s">
        <v>40</v>
      </c>
      <c r="D11" s="1" t="s">
        <v>41</v>
      </c>
      <c r="E11" s="1" t="s">
        <v>14</v>
      </c>
      <c r="F11" s="1" t="s">
        <v>15</v>
      </c>
      <c r="G11" s="1" t="s">
        <v>35</v>
      </c>
      <c r="H11" s="1">
        <v>4</v>
      </c>
      <c r="I11" s="1">
        <v>120</v>
      </c>
      <c r="J11" s="1">
        <v>0</v>
      </c>
      <c r="K11" s="22">
        <v>480</v>
      </c>
      <c r="P11" s="6" t="s">
        <v>199</v>
      </c>
    </row>
    <row r="12" spans="1:16" x14ac:dyDescent="0.3">
      <c r="A12" s="31">
        <v>45790</v>
      </c>
      <c r="B12" s="1" t="s">
        <v>42</v>
      </c>
      <c r="C12" s="1" t="s">
        <v>18</v>
      </c>
      <c r="D12" s="1" t="s">
        <v>19</v>
      </c>
      <c r="E12" s="1" t="s">
        <v>20</v>
      </c>
      <c r="F12" s="1" t="s">
        <v>33</v>
      </c>
      <c r="G12" s="1" t="s">
        <v>16</v>
      </c>
      <c r="H12" s="1">
        <v>2</v>
      </c>
      <c r="I12" s="1">
        <v>35</v>
      </c>
      <c r="J12" s="1">
        <v>10</v>
      </c>
      <c r="K12" s="22">
        <v>63</v>
      </c>
      <c r="P12" s="7"/>
    </row>
    <row r="13" spans="1:16" x14ac:dyDescent="0.3">
      <c r="A13" s="31">
        <v>45796</v>
      </c>
      <c r="B13" s="1" t="s">
        <v>43</v>
      </c>
      <c r="C13" s="1" t="s">
        <v>27</v>
      </c>
      <c r="D13" s="1" t="s">
        <v>28</v>
      </c>
      <c r="E13" s="1" t="s">
        <v>29</v>
      </c>
      <c r="F13" s="1" t="s">
        <v>30</v>
      </c>
      <c r="G13" s="1" t="s">
        <v>31</v>
      </c>
      <c r="H13" s="1">
        <v>8</v>
      </c>
      <c r="I13" s="1">
        <v>50</v>
      </c>
      <c r="J13" s="1">
        <v>0</v>
      </c>
      <c r="K13" s="22">
        <v>400</v>
      </c>
      <c r="P13" s="7" t="s">
        <v>200</v>
      </c>
    </row>
    <row r="14" spans="1:16" x14ac:dyDescent="0.3">
      <c r="A14" s="31">
        <v>45784</v>
      </c>
      <c r="B14" s="1" t="s">
        <v>44</v>
      </c>
      <c r="C14" s="1" t="s">
        <v>45</v>
      </c>
      <c r="D14" s="1" t="s">
        <v>46</v>
      </c>
      <c r="E14" s="1" t="s">
        <v>29</v>
      </c>
      <c r="F14" s="1" t="s">
        <v>15</v>
      </c>
      <c r="G14" s="1" t="s">
        <v>35</v>
      </c>
      <c r="H14" s="1">
        <v>8</v>
      </c>
      <c r="I14" s="1">
        <v>20</v>
      </c>
      <c r="J14" s="1">
        <v>10</v>
      </c>
      <c r="K14" s="22">
        <v>144</v>
      </c>
      <c r="P14" s="7"/>
    </row>
    <row r="15" spans="1:16" x14ac:dyDescent="0.3">
      <c r="A15" s="31">
        <v>45830</v>
      </c>
      <c r="B15" s="1" t="s">
        <v>47</v>
      </c>
      <c r="C15" s="1" t="s">
        <v>40</v>
      </c>
      <c r="D15" s="1" t="s">
        <v>41</v>
      </c>
      <c r="E15" s="1" t="s">
        <v>14</v>
      </c>
      <c r="F15" s="1" t="s">
        <v>33</v>
      </c>
      <c r="G15" s="1" t="s">
        <v>31</v>
      </c>
      <c r="H15" s="1">
        <v>7</v>
      </c>
      <c r="I15" s="1">
        <v>120</v>
      </c>
      <c r="J15" s="1">
        <v>0</v>
      </c>
      <c r="K15" s="22">
        <v>840</v>
      </c>
      <c r="P15" s="7" t="s">
        <v>201</v>
      </c>
    </row>
    <row r="16" spans="1:16" x14ac:dyDescent="0.3">
      <c r="A16" s="31">
        <v>45721</v>
      </c>
      <c r="B16" s="1" t="s">
        <v>48</v>
      </c>
      <c r="C16" s="1" t="s">
        <v>40</v>
      </c>
      <c r="D16" s="1" t="s">
        <v>41</v>
      </c>
      <c r="E16" s="1" t="s">
        <v>14</v>
      </c>
      <c r="F16" s="1" t="s">
        <v>15</v>
      </c>
      <c r="G16" s="1" t="s">
        <v>49</v>
      </c>
      <c r="H16" s="1">
        <v>5</v>
      </c>
      <c r="I16" s="1">
        <v>120</v>
      </c>
      <c r="J16" s="1">
        <v>0</v>
      </c>
      <c r="K16" s="22">
        <v>600</v>
      </c>
      <c r="P16" s="7"/>
    </row>
    <row r="17" spans="1:16" x14ac:dyDescent="0.3">
      <c r="A17" s="31">
        <v>45709</v>
      </c>
      <c r="B17" s="1" t="s">
        <v>50</v>
      </c>
      <c r="C17" s="1" t="s">
        <v>12</v>
      </c>
      <c r="D17" s="1" t="s">
        <v>13</v>
      </c>
      <c r="E17" s="1" t="s">
        <v>14</v>
      </c>
      <c r="F17" s="1" t="s">
        <v>30</v>
      </c>
      <c r="G17" s="1" t="s">
        <v>35</v>
      </c>
      <c r="H17" s="1">
        <v>1</v>
      </c>
      <c r="I17" s="1">
        <v>60</v>
      </c>
      <c r="J17" s="1">
        <v>5</v>
      </c>
      <c r="K17" s="22">
        <v>57</v>
      </c>
      <c r="P17" s="7" t="s">
        <v>202</v>
      </c>
    </row>
    <row r="18" spans="1:16" x14ac:dyDescent="0.3">
      <c r="A18" s="31">
        <v>45729</v>
      </c>
      <c r="B18" s="1" t="s">
        <v>51</v>
      </c>
      <c r="C18" s="1" t="s">
        <v>12</v>
      </c>
      <c r="D18" s="1" t="s">
        <v>13</v>
      </c>
      <c r="E18" s="1" t="s">
        <v>14</v>
      </c>
      <c r="F18" s="1" t="s">
        <v>30</v>
      </c>
      <c r="G18" s="1" t="s">
        <v>49</v>
      </c>
      <c r="H18" s="1">
        <v>9</v>
      </c>
      <c r="I18" s="1">
        <v>60</v>
      </c>
      <c r="J18" s="1">
        <v>5</v>
      </c>
      <c r="K18" s="22">
        <v>513</v>
      </c>
      <c r="P18" s="7"/>
    </row>
    <row r="19" spans="1:16" x14ac:dyDescent="0.3">
      <c r="A19" s="31">
        <v>45682</v>
      </c>
      <c r="B19" s="1" t="s">
        <v>52</v>
      </c>
      <c r="C19" s="1" t="s">
        <v>27</v>
      </c>
      <c r="D19" s="1" t="s">
        <v>28</v>
      </c>
      <c r="E19" s="1" t="s">
        <v>29</v>
      </c>
      <c r="F19" s="1" t="s">
        <v>21</v>
      </c>
      <c r="G19" s="1" t="s">
        <v>35</v>
      </c>
      <c r="H19" s="1">
        <v>3</v>
      </c>
      <c r="I19" s="1">
        <v>50</v>
      </c>
      <c r="J19" s="1">
        <v>5</v>
      </c>
      <c r="K19" s="22">
        <v>142.5</v>
      </c>
      <c r="P19" s="7" t="s">
        <v>203</v>
      </c>
    </row>
    <row r="20" spans="1:16" x14ac:dyDescent="0.3">
      <c r="A20" s="31">
        <v>45834</v>
      </c>
      <c r="B20" s="1" t="s">
        <v>53</v>
      </c>
      <c r="C20" s="1" t="s">
        <v>12</v>
      </c>
      <c r="D20" s="1" t="s">
        <v>13</v>
      </c>
      <c r="E20" s="1" t="s">
        <v>14</v>
      </c>
      <c r="F20" s="1" t="s">
        <v>15</v>
      </c>
      <c r="G20" s="1" t="s">
        <v>31</v>
      </c>
      <c r="H20" s="1">
        <v>9</v>
      </c>
      <c r="I20" s="1">
        <v>60</v>
      </c>
      <c r="J20" s="1">
        <v>5</v>
      </c>
      <c r="K20" s="22">
        <v>513</v>
      </c>
      <c r="P20" s="7"/>
    </row>
    <row r="21" spans="1:16" x14ac:dyDescent="0.3">
      <c r="A21" s="31">
        <v>45779</v>
      </c>
      <c r="B21" s="1" t="s">
        <v>54</v>
      </c>
      <c r="C21" s="1" t="s">
        <v>27</v>
      </c>
      <c r="D21" s="1" t="s">
        <v>28</v>
      </c>
      <c r="E21" s="1" t="s">
        <v>29</v>
      </c>
      <c r="F21" s="1" t="s">
        <v>15</v>
      </c>
      <c r="G21" s="1" t="s">
        <v>22</v>
      </c>
      <c r="H21" s="1">
        <v>5</v>
      </c>
      <c r="I21" s="1">
        <v>50</v>
      </c>
      <c r="J21" s="1">
        <v>10</v>
      </c>
      <c r="K21" s="22">
        <v>225</v>
      </c>
      <c r="P21" s="7" t="s">
        <v>204</v>
      </c>
    </row>
    <row r="22" spans="1:16" x14ac:dyDescent="0.3">
      <c r="A22" s="31">
        <v>45771</v>
      </c>
      <c r="B22" s="1" t="s">
        <v>55</v>
      </c>
      <c r="C22" s="1" t="s">
        <v>24</v>
      </c>
      <c r="D22" s="1" t="s">
        <v>25</v>
      </c>
      <c r="E22" s="1" t="s">
        <v>20</v>
      </c>
      <c r="F22" s="1" t="s">
        <v>33</v>
      </c>
      <c r="G22" s="1" t="s">
        <v>49</v>
      </c>
      <c r="H22" s="1">
        <v>5</v>
      </c>
      <c r="I22" s="1">
        <v>25</v>
      </c>
      <c r="J22" s="1">
        <v>0</v>
      </c>
      <c r="K22" s="22">
        <v>125</v>
      </c>
    </row>
    <row r="23" spans="1:16" x14ac:dyDescent="0.3">
      <c r="A23" s="31">
        <v>45798</v>
      </c>
      <c r="B23" s="1" t="s">
        <v>56</v>
      </c>
      <c r="C23" s="1" t="s">
        <v>12</v>
      </c>
      <c r="D23" s="1" t="s">
        <v>13</v>
      </c>
      <c r="E23" s="1" t="s">
        <v>14</v>
      </c>
      <c r="F23" s="1" t="s">
        <v>21</v>
      </c>
      <c r="G23" s="1" t="s">
        <v>35</v>
      </c>
      <c r="H23" s="1">
        <v>5</v>
      </c>
      <c r="I23" s="1">
        <v>60</v>
      </c>
      <c r="J23" s="1">
        <v>0</v>
      </c>
      <c r="K23" s="22">
        <v>300</v>
      </c>
    </row>
    <row r="24" spans="1:16" x14ac:dyDescent="0.3">
      <c r="A24" s="31">
        <v>45831</v>
      </c>
      <c r="B24" s="1" t="s">
        <v>57</v>
      </c>
      <c r="C24" s="1" t="s">
        <v>40</v>
      </c>
      <c r="D24" s="1" t="s">
        <v>41</v>
      </c>
      <c r="E24" s="1" t="s">
        <v>14</v>
      </c>
      <c r="F24" s="1" t="s">
        <v>33</v>
      </c>
      <c r="G24" s="1" t="s">
        <v>22</v>
      </c>
      <c r="H24" s="1">
        <v>1</v>
      </c>
      <c r="I24" s="1">
        <v>120</v>
      </c>
      <c r="J24" s="1">
        <v>5</v>
      </c>
      <c r="K24" s="22">
        <v>114</v>
      </c>
    </row>
    <row r="25" spans="1:16" x14ac:dyDescent="0.3">
      <c r="A25" s="31">
        <v>45795</v>
      </c>
      <c r="B25" s="1" t="s">
        <v>58</v>
      </c>
      <c r="C25" s="1" t="s">
        <v>12</v>
      </c>
      <c r="D25" s="1" t="s">
        <v>13</v>
      </c>
      <c r="E25" s="1" t="s">
        <v>14</v>
      </c>
      <c r="F25" s="1" t="s">
        <v>33</v>
      </c>
      <c r="G25" s="1" t="s">
        <v>35</v>
      </c>
      <c r="H25" s="1">
        <v>9</v>
      </c>
      <c r="I25" s="1">
        <v>60</v>
      </c>
      <c r="J25" s="1">
        <v>10</v>
      </c>
      <c r="K25" s="22">
        <v>486</v>
      </c>
    </row>
    <row r="26" spans="1:16" x14ac:dyDescent="0.3">
      <c r="A26" s="31">
        <v>45669</v>
      </c>
      <c r="B26" s="1" t="s">
        <v>59</v>
      </c>
      <c r="C26" s="1" t="s">
        <v>12</v>
      </c>
      <c r="D26" s="1" t="s">
        <v>13</v>
      </c>
      <c r="E26" s="1" t="s">
        <v>14</v>
      </c>
      <c r="F26" s="1" t="s">
        <v>21</v>
      </c>
      <c r="G26" s="1" t="s">
        <v>35</v>
      </c>
      <c r="H26" s="1">
        <v>7</v>
      </c>
      <c r="I26" s="1">
        <v>60</v>
      </c>
      <c r="J26" s="1">
        <v>0</v>
      </c>
      <c r="K26" s="22">
        <v>420</v>
      </c>
    </row>
    <row r="27" spans="1:16" x14ac:dyDescent="0.3">
      <c r="A27" s="31">
        <v>45801</v>
      </c>
      <c r="B27" s="1" t="s">
        <v>60</v>
      </c>
      <c r="C27" s="1" t="s">
        <v>24</v>
      </c>
      <c r="D27" s="1" t="s">
        <v>25</v>
      </c>
      <c r="E27" s="1" t="s">
        <v>20</v>
      </c>
      <c r="F27" s="1" t="s">
        <v>33</v>
      </c>
      <c r="G27" s="1" t="s">
        <v>22</v>
      </c>
      <c r="H27" s="1">
        <v>3</v>
      </c>
      <c r="I27" s="1">
        <v>25</v>
      </c>
      <c r="J27" s="1">
        <v>5</v>
      </c>
      <c r="K27" s="22">
        <v>71.25</v>
      </c>
    </row>
    <row r="28" spans="1:16" x14ac:dyDescent="0.3">
      <c r="A28" s="31">
        <v>45802</v>
      </c>
      <c r="B28" s="1" t="s">
        <v>61</v>
      </c>
      <c r="C28" s="1" t="s">
        <v>27</v>
      </c>
      <c r="D28" s="1" t="s">
        <v>28</v>
      </c>
      <c r="E28" s="1" t="s">
        <v>29</v>
      </c>
      <c r="F28" s="1" t="s">
        <v>33</v>
      </c>
      <c r="G28" s="1" t="s">
        <v>16</v>
      </c>
      <c r="H28" s="1">
        <v>6</v>
      </c>
      <c r="I28" s="1">
        <v>50</v>
      </c>
      <c r="J28" s="1">
        <v>5</v>
      </c>
      <c r="K28" s="22">
        <v>285</v>
      </c>
    </row>
    <row r="29" spans="1:16" x14ac:dyDescent="0.3">
      <c r="A29" s="31">
        <v>45713</v>
      </c>
      <c r="B29" s="1" t="s">
        <v>62</v>
      </c>
      <c r="C29" s="1" t="s">
        <v>45</v>
      </c>
      <c r="D29" s="1" t="s">
        <v>46</v>
      </c>
      <c r="E29" s="1" t="s">
        <v>29</v>
      </c>
      <c r="F29" s="1" t="s">
        <v>21</v>
      </c>
      <c r="G29" s="1" t="s">
        <v>49</v>
      </c>
      <c r="H29" s="1">
        <v>3</v>
      </c>
      <c r="I29" s="1">
        <v>20</v>
      </c>
      <c r="J29" s="1">
        <v>10</v>
      </c>
      <c r="K29" s="22">
        <v>54</v>
      </c>
    </row>
    <row r="30" spans="1:16" x14ac:dyDescent="0.3">
      <c r="A30" s="31">
        <v>45733</v>
      </c>
      <c r="B30" s="1" t="s">
        <v>63</v>
      </c>
      <c r="C30" s="1" t="s">
        <v>12</v>
      </c>
      <c r="D30" s="1" t="s">
        <v>13</v>
      </c>
      <c r="E30" s="1" t="s">
        <v>14</v>
      </c>
      <c r="F30" s="1" t="s">
        <v>21</v>
      </c>
      <c r="G30" s="1" t="s">
        <v>31</v>
      </c>
      <c r="H30" s="1">
        <v>5</v>
      </c>
      <c r="I30" s="1">
        <v>60</v>
      </c>
      <c r="J30" s="1">
        <v>5</v>
      </c>
      <c r="K30" s="22">
        <v>285</v>
      </c>
    </row>
    <row r="31" spans="1:16" x14ac:dyDescent="0.3">
      <c r="A31" s="31">
        <v>45731</v>
      </c>
      <c r="B31" s="1" t="s">
        <v>64</v>
      </c>
      <c r="C31" s="1" t="s">
        <v>27</v>
      </c>
      <c r="D31" s="1" t="s">
        <v>28</v>
      </c>
      <c r="E31" s="1" t="s">
        <v>29</v>
      </c>
      <c r="F31" s="1" t="s">
        <v>30</v>
      </c>
      <c r="G31" s="1" t="s">
        <v>22</v>
      </c>
      <c r="H31" s="1">
        <v>8</v>
      </c>
      <c r="I31" s="1">
        <v>50</v>
      </c>
      <c r="J31" s="1">
        <v>10</v>
      </c>
      <c r="K31" s="22">
        <v>360</v>
      </c>
    </row>
    <row r="32" spans="1:16" x14ac:dyDescent="0.3">
      <c r="A32" s="31">
        <v>45799</v>
      </c>
      <c r="B32" s="1" t="s">
        <v>65</v>
      </c>
      <c r="C32" s="1" t="s">
        <v>18</v>
      </c>
      <c r="D32" s="1" t="s">
        <v>19</v>
      </c>
      <c r="E32" s="1" t="s">
        <v>20</v>
      </c>
      <c r="F32" s="1" t="s">
        <v>30</v>
      </c>
      <c r="G32" s="1" t="s">
        <v>49</v>
      </c>
      <c r="H32" s="1">
        <v>3</v>
      </c>
      <c r="I32" s="1">
        <v>35</v>
      </c>
      <c r="J32" s="1">
        <v>5</v>
      </c>
      <c r="K32" s="22">
        <v>99.75</v>
      </c>
    </row>
    <row r="33" spans="1:11" x14ac:dyDescent="0.3">
      <c r="A33" s="31">
        <v>45824</v>
      </c>
      <c r="B33" s="1" t="s">
        <v>66</v>
      </c>
      <c r="C33" s="1" t="s">
        <v>40</v>
      </c>
      <c r="D33" s="1" t="s">
        <v>41</v>
      </c>
      <c r="E33" s="1" t="s">
        <v>14</v>
      </c>
      <c r="F33" s="1" t="s">
        <v>15</v>
      </c>
      <c r="G33" s="1" t="s">
        <v>31</v>
      </c>
      <c r="H33" s="1">
        <v>8</v>
      </c>
      <c r="I33" s="1">
        <v>120</v>
      </c>
      <c r="J33" s="1">
        <v>0</v>
      </c>
      <c r="K33" s="22">
        <v>960</v>
      </c>
    </row>
    <row r="34" spans="1:11" x14ac:dyDescent="0.3">
      <c r="A34" s="31">
        <v>45774</v>
      </c>
      <c r="B34" s="1" t="s">
        <v>67</v>
      </c>
      <c r="C34" s="1" t="s">
        <v>40</v>
      </c>
      <c r="D34" s="1" t="s">
        <v>41</v>
      </c>
      <c r="E34" s="1" t="s">
        <v>14</v>
      </c>
      <c r="F34" s="1" t="s">
        <v>33</v>
      </c>
      <c r="G34" s="1" t="s">
        <v>49</v>
      </c>
      <c r="H34" s="1">
        <v>8</v>
      </c>
      <c r="I34" s="1">
        <v>120</v>
      </c>
      <c r="J34" s="1">
        <v>10</v>
      </c>
      <c r="K34" s="22">
        <v>864</v>
      </c>
    </row>
    <row r="35" spans="1:11" x14ac:dyDescent="0.3">
      <c r="A35" s="31">
        <v>45752</v>
      </c>
      <c r="B35" s="1" t="s">
        <v>68</v>
      </c>
      <c r="C35" s="1" t="s">
        <v>40</v>
      </c>
      <c r="D35" s="1" t="s">
        <v>41</v>
      </c>
      <c r="E35" s="1" t="s">
        <v>14</v>
      </c>
      <c r="F35" s="1" t="s">
        <v>30</v>
      </c>
      <c r="G35" s="1" t="s">
        <v>22</v>
      </c>
      <c r="H35" s="1">
        <v>6</v>
      </c>
      <c r="I35" s="1">
        <v>120</v>
      </c>
      <c r="J35" s="1">
        <v>10</v>
      </c>
      <c r="K35" s="22">
        <v>648</v>
      </c>
    </row>
    <row r="36" spans="1:11" x14ac:dyDescent="0.3">
      <c r="A36" s="31">
        <v>45691</v>
      </c>
      <c r="B36" s="1" t="s">
        <v>69</v>
      </c>
      <c r="C36" s="1" t="s">
        <v>24</v>
      </c>
      <c r="D36" s="1" t="s">
        <v>25</v>
      </c>
      <c r="E36" s="1" t="s">
        <v>20</v>
      </c>
      <c r="F36" s="1" t="s">
        <v>21</v>
      </c>
      <c r="G36" s="1" t="s">
        <v>16</v>
      </c>
      <c r="H36" s="1">
        <v>4</v>
      </c>
      <c r="I36" s="1">
        <v>25</v>
      </c>
      <c r="J36" s="1">
        <v>0</v>
      </c>
      <c r="K36" s="22">
        <v>100</v>
      </c>
    </row>
    <row r="37" spans="1:11" x14ac:dyDescent="0.3">
      <c r="A37" s="31">
        <v>45679</v>
      </c>
      <c r="B37" s="1" t="s">
        <v>70</v>
      </c>
      <c r="C37" s="1" t="s">
        <v>24</v>
      </c>
      <c r="D37" s="1" t="s">
        <v>25</v>
      </c>
      <c r="E37" s="1" t="s">
        <v>20</v>
      </c>
      <c r="F37" s="1" t="s">
        <v>30</v>
      </c>
      <c r="G37" s="1" t="s">
        <v>16</v>
      </c>
      <c r="H37" s="1">
        <v>6</v>
      </c>
      <c r="I37" s="1">
        <v>25</v>
      </c>
      <c r="J37" s="1">
        <v>0</v>
      </c>
      <c r="K37" s="22">
        <v>150</v>
      </c>
    </row>
    <row r="38" spans="1:11" x14ac:dyDescent="0.3">
      <c r="A38" s="31">
        <v>45784</v>
      </c>
      <c r="B38" s="1" t="s">
        <v>71</v>
      </c>
      <c r="C38" s="1" t="s">
        <v>12</v>
      </c>
      <c r="D38" s="1" t="s">
        <v>13</v>
      </c>
      <c r="E38" s="1" t="s">
        <v>14</v>
      </c>
      <c r="F38" s="1" t="s">
        <v>33</v>
      </c>
      <c r="G38" s="1" t="s">
        <v>49</v>
      </c>
      <c r="H38" s="1">
        <v>4</v>
      </c>
      <c r="I38" s="1">
        <v>60</v>
      </c>
      <c r="J38" s="1">
        <v>5</v>
      </c>
      <c r="K38" s="22">
        <v>228</v>
      </c>
    </row>
    <row r="39" spans="1:11" x14ac:dyDescent="0.3">
      <c r="A39" s="31">
        <v>45761</v>
      </c>
      <c r="B39" s="1" t="s">
        <v>72</v>
      </c>
      <c r="C39" s="1" t="s">
        <v>40</v>
      </c>
      <c r="D39" s="1" t="s">
        <v>41</v>
      </c>
      <c r="E39" s="1" t="s">
        <v>14</v>
      </c>
      <c r="F39" s="1" t="s">
        <v>33</v>
      </c>
      <c r="G39" s="1" t="s">
        <v>35</v>
      </c>
      <c r="H39" s="1">
        <v>8</v>
      </c>
      <c r="I39" s="1">
        <v>120</v>
      </c>
      <c r="J39" s="1">
        <v>5</v>
      </c>
      <c r="K39" s="22">
        <v>912</v>
      </c>
    </row>
    <row r="40" spans="1:11" x14ac:dyDescent="0.3">
      <c r="A40" s="31">
        <v>45746</v>
      </c>
      <c r="B40" s="1" t="s">
        <v>73</v>
      </c>
      <c r="C40" s="1" t="s">
        <v>40</v>
      </c>
      <c r="D40" s="1" t="s">
        <v>41</v>
      </c>
      <c r="E40" s="1" t="s">
        <v>14</v>
      </c>
      <c r="F40" s="1" t="s">
        <v>15</v>
      </c>
      <c r="G40" s="1" t="s">
        <v>16</v>
      </c>
      <c r="H40" s="1">
        <v>7</v>
      </c>
      <c r="I40" s="1">
        <v>120</v>
      </c>
      <c r="J40" s="1">
        <v>5</v>
      </c>
      <c r="K40" s="22">
        <v>798</v>
      </c>
    </row>
    <row r="41" spans="1:11" x14ac:dyDescent="0.3">
      <c r="A41" s="31">
        <v>45741</v>
      </c>
      <c r="B41" s="1" t="s">
        <v>74</v>
      </c>
      <c r="C41" s="1" t="s">
        <v>12</v>
      </c>
      <c r="D41" s="1" t="s">
        <v>13</v>
      </c>
      <c r="E41" s="1" t="s">
        <v>14</v>
      </c>
      <c r="F41" s="1" t="s">
        <v>21</v>
      </c>
      <c r="G41" s="1" t="s">
        <v>16</v>
      </c>
      <c r="H41" s="1">
        <v>5</v>
      </c>
      <c r="I41" s="1">
        <v>60</v>
      </c>
      <c r="J41" s="1">
        <v>0</v>
      </c>
      <c r="K41" s="22">
        <v>300</v>
      </c>
    </row>
    <row r="42" spans="1:11" x14ac:dyDescent="0.3">
      <c r="A42" s="31">
        <v>45797</v>
      </c>
      <c r="B42" s="1" t="s">
        <v>75</v>
      </c>
      <c r="C42" s="1" t="s">
        <v>18</v>
      </c>
      <c r="D42" s="1" t="s">
        <v>19</v>
      </c>
      <c r="E42" s="1" t="s">
        <v>20</v>
      </c>
      <c r="F42" s="1" t="s">
        <v>15</v>
      </c>
      <c r="G42" s="1" t="s">
        <v>35</v>
      </c>
      <c r="H42" s="1">
        <v>4</v>
      </c>
      <c r="I42" s="1">
        <v>35</v>
      </c>
      <c r="J42" s="1">
        <v>10</v>
      </c>
      <c r="K42" s="22">
        <v>126</v>
      </c>
    </row>
    <row r="43" spans="1:11" x14ac:dyDescent="0.3">
      <c r="A43" s="31">
        <v>45763</v>
      </c>
      <c r="B43" s="1" t="s">
        <v>76</v>
      </c>
      <c r="C43" s="1" t="s">
        <v>12</v>
      </c>
      <c r="D43" s="1" t="s">
        <v>13</v>
      </c>
      <c r="E43" s="1" t="s">
        <v>14</v>
      </c>
      <c r="F43" s="1" t="s">
        <v>30</v>
      </c>
      <c r="G43" s="1" t="s">
        <v>31</v>
      </c>
      <c r="H43" s="1">
        <v>3</v>
      </c>
      <c r="I43" s="1">
        <v>60</v>
      </c>
      <c r="J43" s="1">
        <v>5</v>
      </c>
      <c r="K43" s="22">
        <v>171</v>
      </c>
    </row>
    <row r="44" spans="1:11" x14ac:dyDescent="0.3">
      <c r="A44" s="31">
        <v>45785</v>
      </c>
      <c r="B44" s="1" t="s">
        <v>77</v>
      </c>
      <c r="C44" s="1" t="s">
        <v>24</v>
      </c>
      <c r="D44" s="1" t="s">
        <v>25</v>
      </c>
      <c r="E44" s="1" t="s">
        <v>20</v>
      </c>
      <c r="F44" s="1" t="s">
        <v>33</v>
      </c>
      <c r="G44" s="1" t="s">
        <v>49</v>
      </c>
      <c r="H44" s="1">
        <v>6</v>
      </c>
      <c r="I44" s="1">
        <v>25</v>
      </c>
      <c r="J44" s="1">
        <v>10</v>
      </c>
      <c r="K44" s="22">
        <v>135</v>
      </c>
    </row>
    <row r="45" spans="1:11" x14ac:dyDescent="0.3">
      <c r="A45" s="31">
        <v>45660</v>
      </c>
      <c r="B45" s="1" t="s">
        <v>78</v>
      </c>
      <c r="C45" s="1" t="s">
        <v>27</v>
      </c>
      <c r="D45" s="1" t="s">
        <v>28</v>
      </c>
      <c r="E45" s="1" t="s">
        <v>29</v>
      </c>
      <c r="F45" s="1" t="s">
        <v>21</v>
      </c>
      <c r="G45" s="1" t="s">
        <v>16</v>
      </c>
      <c r="H45" s="1">
        <v>2</v>
      </c>
      <c r="I45" s="1">
        <v>50</v>
      </c>
      <c r="J45" s="1">
        <v>5</v>
      </c>
      <c r="K45" s="22">
        <v>95</v>
      </c>
    </row>
    <row r="46" spans="1:11" x14ac:dyDescent="0.3">
      <c r="A46" s="31">
        <v>45793</v>
      </c>
      <c r="B46" s="1" t="s">
        <v>79</v>
      </c>
      <c r="C46" s="1" t="s">
        <v>27</v>
      </c>
      <c r="D46" s="1" t="s">
        <v>28</v>
      </c>
      <c r="E46" s="1" t="s">
        <v>29</v>
      </c>
      <c r="F46" s="1" t="s">
        <v>15</v>
      </c>
      <c r="G46" s="1" t="s">
        <v>35</v>
      </c>
      <c r="H46" s="1">
        <v>9</v>
      </c>
      <c r="I46" s="1">
        <v>50</v>
      </c>
      <c r="J46" s="1">
        <v>10</v>
      </c>
      <c r="K46" s="22">
        <v>405</v>
      </c>
    </row>
    <row r="47" spans="1:11" x14ac:dyDescent="0.3">
      <c r="A47" s="31">
        <v>45677</v>
      </c>
      <c r="B47" s="1" t="s">
        <v>80</v>
      </c>
      <c r="C47" s="1" t="s">
        <v>24</v>
      </c>
      <c r="D47" s="1" t="s">
        <v>25</v>
      </c>
      <c r="E47" s="1" t="s">
        <v>20</v>
      </c>
      <c r="F47" s="1" t="s">
        <v>21</v>
      </c>
      <c r="G47" s="1" t="s">
        <v>22</v>
      </c>
      <c r="H47" s="1">
        <v>4</v>
      </c>
      <c r="I47" s="1">
        <v>25</v>
      </c>
      <c r="J47" s="1">
        <v>0</v>
      </c>
      <c r="K47" s="22">
        <v>100</v>
      </c>
    </row>
    <row r="48" spans="1:11" x14ac:dyDescent="0.3">
      <c r="A48" s="31">
        <v>45778</v>
      </c>
      <c r="B48" s="1" t="s">
        <v>81</v>
      </c>
      <c r="C48" s="1" t="s">
        <v>18</v>
      </c>
      <c r="D48" s="1" t="s">
        <v>19</v>
      </c>
      <c r="E48" s="1" t="s">
        <v>20</v>
      </c>
      <c r="F48" s="1" t="s">
        <v>30</v>
      </c>
      <c r="G48" s="1" t="s">
        <v>31</v>
      </c>
      <c r="H48" s="1">
        <v>7</v>
      </c>
      <c r="I48" s="1">
        <v>35</v>
      </c>
      <c r="J48" s="1">
        <v>0</v>
      </c>
      <c r="K48" s="22">
        <v>245</v>
      </c>
    </row>
    <row r="49" spans="1:11" x14ac:dyDescent="0.3">
      <c r="A49" s="31">
        <v>45697</v>
      </c>
      <c r="B49" s="1" t="s">
        <v>82</v>
      </c>
      <c r="C49" s="1" t="s">
        <v>12</v>
      </c>
      <c r="D49" s="1" t="s">
        <v>13</v>
      </c>
      <c r="E49" s="1" t="s">
        <v>14</v>
      </c>
      <c r="F49" s="1" t="s">
        <v>15</v>
      </c>
      <c r="G49" s="1" t="s">
        <v>49</v>
      </c>
      <c r="H49" s="1">
        <v>2</v>
      </c>
      <c r="I49" s="1">
        <v>60</v>
      </c>
      <c r="J49" s="1">
        <v>5</v>
      </c>
      <c r="K49" s="22">
        <v>114</v>
      </c>
    </row>
    <row r="50" spans="1:11" x14ac:dyDescent="0.3">
      <c r="A50" s="31">
        <v>45815</v>
      </c>
      <c r="B50" s="1" t="s">
        <v>83</v>
      </c>
      <c r="C50" s="1" t="s">
        <v>45</v>
      </c>
      <c r="D50" s="1" t="s">
        <v>46</v>
      </c>
      <c r="E50" s="1" t="s">
        <v>29</v>
      </c>
      <c r="F50" s="1" t="s">
        <v>30</v>
      </c>
      <c r="G50" s="1" t="s">
        <v>31</v>
      </c>
      <c r="H50" s="1">
        <v>4</v>
      </c>
      <c r="I50" s="1">
        <v>20</v>
      </c>
      <c r="J50" s="1">
        <v>0</v>
      </c>
      <c r="K50" s="22">
        <v>80</v>
      </c>
    </row>
    <row r="51" spans="1:11" x14ac:dyDescent="0.3">
      <c r="A51" s="31">
        <v>45676</v>
      </c>
      <c r="B51" s="1" t="s">
        <v>84</v>
      </c>
      <c r="C51" s="1" t="s">
        <v>18</v>
      </c>
      <c r="D51" s="1" t="s">
        <v>19</v>
      </c>
      <c r="E51" s="1" t="s">
        <v>20</v>
      </c>
      <c r="F51" s="1" t="s">
        <v>15</v>
      </c>
      <c r="G51" s="1" t="s">
        <v>31</v>
      </c>
      <c r="H51" s="1">
        <v>7</v>
      </c>
      <c r="I51" s="1">
        <v>35</v>
      </c>
      <c r="J51" s="1">
        <v>5</v>
      </c>
      <c r="K51" s="22">
        <v>232.75</v>
      </c>
    </row>
    <row r="52" spans="1:11" x14ac:dyDescent="0.3">
      <c r="A52" s="31">
        <v>45837</v>
      </c>
      <c r="B52" s="1" t="s">
        <v>85</v>
      </c>
      <c r="C52" s="1" t="s">
        <v>18</v>
      </c>
      <c r="D52" s="1" t="s">
        <v>19</v>
      </c>
      <c r="E52" s="1" t="s">
        <v>20</v>
      </c>
      <c r="F52" s="1" t="s">
        <v>21</v>
      </c>
      <c r="G52" s="1" t="s">
        <v>49</v>
      </c>
      <c r="H52" s="1">
        <v>8</v>
      </c>
      <c r="I52" s="1">
        <v>35</v>
      </c>
      <c r="J52" s="1">
        <v>0</v>
      </c>
      <c r="K52" s="22">
        <v>280</v>
      </c>
    </row>
    <row r="53" spans="1:11" x14ac:dyDescent="0.3">
      <c r="A53" s="31">
        <v>45659</v>
      </c>
      <c r="B53" s="1" t="s">
        <v>86</v>
      </c>
      <c r="C53" s="1" t="s">
        <v>18</v>
      </c>
      <c r="D53" s="1" t="s">
        <v>19</v>
      </c>
      <c r="E53" s="1" t="s">
        <v>20</v>
      </c>
      <c r="F53" s="1" t="s">
        <v>15</v>
      </c>
      <c r="G53" s="1" t="s">
        <v>31</v>
      </c>
      <c r="H53" s="1">
        <v>2</v>
      </c>
      <c r="I53" s="1">
        <v>35</v>
      </c>
      <c r="J53" s="1">
        <v>5</v>
      </c>
      <c r="K53" s="22">
        <v>66.5</v>
      </c>
    </row>
    <row r="54" spans="1:11" x14ac:dyDescent="0.3">
      <c r="A54" s="31">
        <v>45693</v>
      </c>
      <c r="B54" s="1" t="s">
        <v>87</v>
      </c>
      <c r="C54" s="1" t="s">
        <v>12</v>
      </c>
      <c r="D54" s="1" t="s">
        <v>13</v>
      </c>
      <c r="E54" s="1" t="s">
        <v>14</v>
      </c>
      <c r="F54" s="1" t="s">
        <v>21</v>
      </c>
      <c r="G54" s="1" t="s">
        <v>16</v>
      </c>
      <c r="H54" s="1">
        <v>5</v>
      </c>
      <c r="I54" s="1">
        <v>60</v>
      </c>
      <c r="J54" s="1">
        <v>5</v>
      </c>
      <c r="K54" s="22">
        <v>285</v>
      </c>
    </row>
    <row r="55" spans="1:11" x14ac:dyDescent="0.3">
      <c r="A55" s="31">
        <v>45682</v>
      </c>
      <c r="B55" s="1" t="s">
        <v>88</v>
      </c>
      <c r="C55" s="1" t="s">
        <v>12</v>
      </c>
      <c r="D55" s="1" t="s">
        <v>13</v>
      </c>
      <c r="E55" s="1" t="s">
        <v>14</v>
      </c>
      <c r="F55" s="1" t="s">
        <v>30</v>
      </c>
      <c r="G55" s="1" t="s">
        <v>16</v>
      </c>
      <c r="H55" s="1">
        <v>7</v>
      </c>
      <c r="I55" s="1">
        <v>60</v>
      </c>
      <c r="J55" s="1">
        <v>5</v>
      </c>
      <c r="K55" s="22">
        <v>399</v>
      </c>
    </row>
    <row r="56" spans="1:11" x14ac:dyDescent="0.3">
      <c r="A56" s="31">
        <v>45676</v>
      </c>
      <c r="B56" s="1" t="s">
        <v>89</v>
      </c>
      <c r="C56" s="1" t="s">
        <v>24</v>
      </c>
      <c r="D56" s="1" t="s">
        <v>25</v>
      </c>
      <c r="E56" s="1" t="s">
        <v>20</v>
      </c>
      <c r="F56" s="1" t="s">
        <v>15</v>
      </c>
      <c r="G56" s="1" t="s">
        <v>16</v>
      </c>
      <c r="H56" s="1">
        <v>8</v>
      </c>
      <c r="I56" s="1">
        <v>25</v>
      </c>
      <c r="J56" s="1">
        <v>10</v>
      </c>
      <c r="K56" s="22">
        <v>180</v>
      </c>
    </row>
    <row r="57" spans="1:11" x14ac:dyDescent="0.3">
      <c r="A57" s="31">
        <v>45733</v>
      </c>
      <c r="B57" s="1" t="s">
        <v>90</v>
      </c>
      <c r="C57" s="1" t="s">
        <v>40</v>
      </c>
      <c r="D57" s="1" t="s">
        <v>41</v>
      </c>
      <c r="E57" s="1" t="s">
        <v>14</v>
      </c>
      <c r="F57" s="1" t="s">
        <v>21</v>
      </c>
      <c r="G57" s="1" t="s">
        <v>49</v>
      </c>
      <c r="H57" s="1">
        <v>4</v>
      </c>
      <c r="I57" s="1">
        <v>120</v>
      </c>
      <c r="J57" s="1">
        <v>10</v>
      </c>
      <c r="K57" s="22">
        <v>432</v>
      </c>
    </row>
    <row r="58" spans="1:11" x14ac:dyDescent="0.3">
      <c r="A58" s="31">
        <v>45743</v>
      </c>
      <c r="B58" s="1" t="s">
        <v>91</v>
      </c>
      <c r="C58" s="1" t="s">
        <v>12</v>
      </c>
      <c r="D58" s="1" t="s">
        <v>13</v>
      </c>
      <c r="E58" s="1" t="s">
        <v>14</v>
      </c>
      <c r="F58" s="1" t="s">
        <v>15</v>
      </c>
      <c r="G58" s="1" t="s">
        <v>49</v>
      </c>
      <c r="H58" s="1">
        <v>8</v>
      </c>
      <c r="I58" s="1">
        <v>60</v>
      </c>
      <c r="J58" s="1">
        <v>0</v>
      </c>
      <c r="K58" s="22">
        <v>480</v>
      </c>
    </row>
    <row r="59" spans="1:11" x14ac:dyDescent="0.3">
      <c r="A59" s="31">
        <v>45749</v>
      </c>
      <c r="B59" s="1" t="s">
        <v>92</v>
      </c>
      <c r="C59" s="1" t="s">
        <v>45</v>
      </c>
      <c r="D59" s="1" t="s">
        <v>46</v>
      </c>
      <c r="E59" s="1" t="s">
        <v>29</v>
      </c>
      <c r="F59" s="1" t="s">
        <v>30</v>
      </c>
      <c r="G59" s="1" t="s">
        <v>35</v>
      </c>
      <c r="H59" s="1">
        <v>6</v>
      </c>
      <c r="I59" s="1">
        <v>20</v>
      </c>
      <c r="J59" s="1">
        <v>5</v>
      </c>
      <c r="K59" s="22">
        <v>114</v>
      </c>
    </row>
    <row r="60" spans="1:11" x14ac:dyDescent="0.3">
      <c r="A60" s="31">
        <v>45807</v>
      </c>
      <c r="B60" s="1" t="s">
        <v>93</v>
      </c>
      <c r="C60" s="1" t="s">
        <v>18</v>
      </c>
      <c r="D60" s="1" t="s">
        <v>19</v>
      </c>
      <c r="E60" s="1" t="s">
        <v>20</v>
      </c>
      <c r="F60" s="1" t="s">
        <v>21</v>
      </c>
      <c r="G60" s="1" t="s">
        <v>49</v>
      </c>
      <c r="H60" s="1">
        <v>6</v>
      </c>
      <c r="I60" s="1">
        <v>35</v>
      </c>
      <c r="J60" s="1">
        <v>0</v>
      </c>
      <c r="K60" s="22">
        <v>210</v>
      </c>
    </row>
    <row r="61" spans="1:11" x14ac:dyDescent="0.3">
      <c r="A61" s="31">
        <v>45804</v>
      </c>
      <c r="B61" s="1" t="s">
        <v>94</v>
      </c>
      <c r="C61" s="1" t="s">
        <v>18</v>
      </c>
      <c r="D61" s="1" t="s">
        <v>19</v>
      </c>
      <c r="E61" s="1" t="s">
        <v>20</v>
      </c>
      <c r="F61" s="1" t="s">
        <v>30</v>
      </c>
      <c r="G61" s="1" t="s">
        <v>22</v>
      </c>
      <c r="H61" s="1">
        <v>9</v>
      </c>
      <c r="I61" s="1">
        <v>35</v>
      </c>
      <c r="J61" s="1">
        <v>5</v>
      </c>
      <c r="K61" s="22">
        <v>299.25</v>
      </c>
    </row>
    <row r="62" spans="1:11" x14ac:dyDescent="0.3">
      <c r="A62" s="31">
        <v>45723</v>
      </c>
      <c r="B62" s="1" t="s">
        <v>95</v>
      </c>
      <c r="C62" s="1" t="s">
        <v>45</v>
      </c>
      <c r="D62" s="1" t="s">
        <v>46</v>
      </c>
      <c r="E62" s="1" t="s">
        <v>29</v>
      </c>
      <c r="F62" s="1" t="s">
        <v>21</v>
      </c>
      <c r="G62" s="1" t="s">
        <v>16</v>
      </c>
      <c r="H62" s="1">
        <v>9</v>
      </c>
      <c r="I62" s="1">
        <v>20</v>
      </c>
      <c r="J62" s="1">
        <v>0</v>
      </c>
      <c r="K62" s="22">
        <v>180</v>
      </c>
    </row>
    <row r="63" spans="1:11" x14ac:dyDescent="0.3">
      <c r="A63" s="31">
        <v>45833</v>
      </c>
      <c r="B63" s="1" t="s">
        <v>96</v>
      </c>
      <c r="C63" s="1" t="s">
        <v>40</v>
      </c>
      <c r="D63" s="1" t="s">
        <v>41</v>
      </c>
      <c r="E63" s="1" t="s">
        <v>14</v>
      </c>
      <c r="F63" s="1" t="s">
        <v>33</v>
      </c>
      <c r="G63" s="1" t="s">
        <v>35</v>
      </c>
      <c r="H63" s="1">
        <v>8</v>
      </c>
      <c r="I63" s="1">
        <v>120</v>
      </c>
      <c r="J63" s="1">
        <v>0</v>
      </c>
      <c r="K63" s="22">
        <v>960</v>
      </c>
    </row>
    <row r="64" spans="1:11" x14ac:dyDescent="0.3">
      <c r="A64" s="31">
        <v>45703</v>
      </c>
      <c r="B64" s="1" t="s">
        <v>97</v>
      </c>
      <c r="C64" s="1" t="s">
        <v>27</v>
      </c>
      <c r="D64" s="1" t="s">
        <v>28</v>
      </c>
      <c r="E64" s="1" t="s">
        <v>29</v>
      </c>
      <c r="F64" s="1" t="s">
        <v>15</v>
      </c>
      <c r="G64" s="1" t="s">
        <v>22</v>
      </c>
      <c r="H64" s="1">
        <v>7</v>
      </c>
      <c r="I64" s="1">
        <v>50</v>
      </c>
      <c r="J64" s="1">
        <v>0</v>
      </c>
      <c r="K64" s="22">
        <v>350</v>
      </c>
    </row>
    <row r="65" spans="1:11" x14ac:dyDescent="0.3">
      <c r="A65" s="31">
        <v>45682</v>
      </c>
      <c r="B65" s="1" t="s">
        <v>98</v>
      </c>
      <c r="C65" s="1" t="s">
        <v>12</v>
      </c>
      <c r="D65" s="1" t="s">
        <v>13</v>
      </c>
      <c r="E65" s="1" t="s">
        <v>14</v>
      </c>
      <c r="F65" s="1" t="s">
        <v>30</v>
      </c>
      <c r="G65" s="1" t="s">
        <v>22</v>
      </c>
      <c r="H65" s="1">
        <v>1</v>
      </c>
      <c r="I65" s="1">
        <v>60</v>
      </c>
      <c r="J65" s="1">
        <v>5</v>
      </c>
      <c r="K65" s="22">
        <v>57</v>
      </c>
    </row>
    <row r="66" spans="1:11" x14ac:dyDescent="0.3">
      <c r="A66" s="31">
        <v>45810</v>
      </c>
      <c r="B66" s="1" t="s">
        <v>99</v>
      </c>
      <c r="C66" s="1" t="s">
        <v>12</v>
      </c>
      <c r="D66" s="1" t="s">
        <v>13</v>
      </c>
      <c r="E66" s="1" t="s">
        <v>14</v>
      </c>
      <c r="F66" s="1" t="s">
        <v>21</v>
      </c>
      <c r="G66" s="1" t="s">
        <v>16</v>
      </c>
      <c r="H66" s="1">
        <v>2</v>
      </c>
      <c r="I66" s="1">
        <v>60</v>
      </c>
      <c r="J66" s="1">
        <v>0</v>
      </c>
      <c r="K66" s="22">
        <v>120</v>
      </c>
    </row>
    <row r="67" spans="1:11" x14ac:dyDescent="0.3">
      <c r="A67" s="31">
        <v>45807</v>
      </c>
      <c r="B67" s="1" t="s">
        <v>100</v>
      </c>
      <c r="C67" s="1" t="s">
        <v>24</v>
      </c>
      <c r="D67" s="1" t="s">
        <v>25</v>
      </c>
      <c r="E67" s="1" t="s">
        <v>20</v>
      </c>
      <c r="F67" s="1" t="s">
        <v>15</v>
      </c>
      <c r="G67" s="1" t="s">
        <v>35</v>
      </c>
      <c r="H67" s="1">
        <v>8</v>
      </c>
      <c r="I67" s="1">
        <v>25</v>
      </c>
      <c r="J67" s="1">
        <v>0</v>
      </c>
      <c r="K67" s="22">
        <v>200</v>
      </c>
    </row>
    <row r="68" spans="1:11" x14ac:dyDescent="0.3">
      <c r="A68" s="31">
        <v>45741</v>
      </c>
      <c r="B68" s="1" t="s">
        <v>101</v>
      </c>
      <c r="C68" s="1" t="s">
        <v>18</v>
      </c>
      <c r="D68" s="1" t="s">
        <v>19</v>
      </c>
      <c r="E68" s="1" t="s">
        <v>20</v>
      </c>
      <c r="F68" s="1" t="s">
        <v>30</v>
      </c>
      <c r="G68" s="1" t="s">
        <v>49</v>
      </c>
      <c r="H68" s="1">
        <v>4</v>
      </c>
      <c r="I68" s="1">
        <v>35</v>
      </c>
      <c r="J68" s="1">
        <v>0</v>
      </c>
      <c r="K68" s="22">
        <v>140</v>
      </c>
    </row>
    <row r="69" spans="1:11" x14ac:dyDescent="0.3">
      <c r="A69" s="31">
        <v>45661</v>
      </c>
      <c r="B69" s="1" t="s">
        <v>102</v>
      </c>
      <c r="C69" s="1" t="s">
        <v>24</v>
      </c>
      <c r="D69" s="1" t="s">
        <v>25</v>
      </c>
      <c r="E69" s="1" t="s">
        <v>20</v>
      </c>
      <c r="F69" s="1" t="s">
        <v>21</v>
      </c>
      <c r="G69" s="1" t="s">
        <v>16</v>
      </c>
      <c r="H69" s="1">
        <v>8</v>
      </c>
      <c r="I69" s="1">
        <v>25</v>
      </c>
      <c r="J69" s="1">
        <v>5</v>
      </c>
      <c r="K69" s="22">
        <v>190</v>
      </c>
    </row>
    <row r="70" spans="1:11" x14ac:dyDescent="0.3">
      <c r="A70" s="31">
        <v>45778</v>
      </c>
      <c r="B70" s="1" t="s">
        <v>103</v>
      </c>
      <c r="C70" s="1" t="s">
        <v>40</v>
      </c>
      <c r="D70" s="1" t="s">
        <v>41</v>
      </c>
      <c r="E70" s="1" t="s">
        <v>14</v>
      </c>
      <c r="F70" s="1" t="s">
        <v>30</v>
      </c>
      <c r="G70" s="1" t="s">
        <v>16</v>
      </c>
      <c r="H70" s="1">
        <v>1</v>
      </c>
      <c r="I70" s="1">
        <v>120</v>
      </c>
      <c r="J70" s="1">
        <v>5</v>
      </c>
      <c r="K70" s="22">
        <v>114</v>
      </c>
    </row>
    <row r="71" spans="1:11" x14ac:dyDescent="0.3">
      <c r="A71" s="31">
        <v>45818</v>
      </c>
      <c r="B71" s="1" t="s">
        <v>104</v>
      </c>
      <c r="C71" s="1" t="s">
        <v>18</v>
      </c>
      <c r="D71" s="1" t="s">
        <v>19</v>
      </c>
      <c r="E71" s="1" t="s">
        <v>20</v>
      </c>
      <c r="F71" s="1" t="s">
        <v>33</v>
      </c>
      <c r="G71" s="1" t="s">
        <v>49</v>
      </c>
      <c r="H71" s="1">
        <v>9</v>
      </c>
      <c r="I71" s="1">
        <v>35</v>
      </c>
      <c r="J71" s="1">
        <v>10</v>
      </c>
      <c r="K71" s="22">
        <v>283.5</v>
      </c>
    </row>
    <row r="72" spans="1:11" x14ac:dyDescent="0.3">
      <c r="A72" s="31">
        <v>45743</v>
      </c>
      <c r="B72" s="1" t="s">
        <v>105</v>
      </c>
      <c r="C72" s="1" t="s">
        <v>12</v>
      </c>
      <c r="D72" s="1" t="s">
        <v>13</v>
      </c>
      <c r="E72" s="1" t="s">
        <v>14</v>
      </c>
      <c r="F72" s="1" t="s">
        <v>30</v>
      </c>
      <c r="G72" s="1" t="s">
        <v>16</v>
      </c>
      <c r="H72" s="1">
        <v>6</v>
      </c>
      <c r="I72" s="1">
        <v>60</v>
      </c>
      <c r="J72" s="1">
        <v>5</v>
      </c>
      <c r="K72" s="22">
        <v>342</v>
      </c>
    </row>
    <row r="73" spans="1:11" x14ac:dyDescent="0.3">
      <c r="A73" s="31">
        <v>45797</v>
      </c>
      <c r="B73" s="1" t="s">
        <v>106</v>
      </c>
      <c r="C73" s="1" t="s">
        <v>24</v>
      </c>
      <c r="D73" s="1" t="s">
        <v>25</v>
      </c>
      <c r="E73" s="1" t="s">
        <v>20</v>
      </c>
      <c r="F73" s="1" t="s">
        <v>21</v>
      </c>
      <c r="G73" s="1" t="s">
        <v>49</v>
      </c>
      <c r="H73" s="1">
        <v>8</v>
      </c>
      <c r="I73" s="1">
        <v>25</v>
      </c>
      <c r="J73" s="1">
        <v>0</v>
      </c>
      <c r="K73" s="22">
        <v>200</v>
      </c>
    </row>
    <row r="74" spans="1:11" x14ac:dyDescent="0.3">
      <c r="A74" s="31">
        <v>45750</v>
      </c>
      <c r="B74" s="1" t="s">
        <v>107</v>
      </c>
      <c r="C74" s="1" t="s">
        <v>12</v>
      </c>
      <c r="D74" s="1" t="s">
        <v>13</v>
      </c>
      <c r="E74" s="1" t="s">
        <v>14</v>
      </c>
      <c r="F74" s="1" t="s">
        <v>33</v>
      </c>
      <c r="G74" s="1" t="s">
        <v>31</v>
      </c>
      <c r="H74" s="1">
        <v>1</v>
      </c>
      <c r="I74" s="1">
        <v>60</v>
      </c>
      <c r="J74" s="1">
        <v>10</v>
      </c>
      <c r="K74" s="22">
        <v>54</v>
      </c>
    </row>
    <row r="75" spans="1:11" x14ac:dyDescent="0.3">
      <c r="A75" s="31">
        <v>45733</v>
      </c>
      <c r="B75" s="1" t="s">
        <v>108</v>
      </c>
      <c r="C75" s="1" t="s">
        <v>18</v>
      </c>
      <c r="D75" s="1" t="s">
        <v>19</v>
      </c>
      <c r="E75" s="1" t="s">
        <v>20</v>
      </c>
      <c r="F75" s="1" t="s">
        <v>15</v>
      </c>
      <c r="G75" s="1" t="s">
        <v>16</v>
      </c>
      <c r="H75" s="1">
        <v>2</v>
      </c>
      <c r="I75" s="1">
        <v>35</v>
      </c>
      <c r="J75" s="1">
        <v>5</v>
      </c>
      <c r="K75" s="22">
        <v>66.5</v>
      </c>
    </row>
    <row r="76" spans="1:11" x14ac:dyDescent="0.3">
      <c r="A76" s="31">
        <v>45767</v>
      </c>
      <c r="B76" s="1" t="s">
        <v>109</v>
      </c>
      <c r="C76" s="1" t="s">
        <v>27</v>
      </c>
      <c r="D76" s="1" t="s">
        <v>28</v>
      </c>
      <c r="E76" s="1" t="s">
        <v>29</v>
      </c>
      <c r="F76" s="1" t="s">
        <v>15</v>
      </c>
      <c r="G76" s="1" t="s">
        <v>49</v>
      </c>
      <c r="H76" s="1">
        <v>1</v>
      </c>
      <c r="I76" s="1">
        <v>50</v>
      </c>
      <c r="J76" s="1">
        <v>5</v>
      </c>
      <c r="K76" s="22">
        <v>47.5</v>
      </c>
    </row>
    <row r="77" spans="1:11" x14ac:dyDescent="0.3">
      <c r="A77" s="31">
        <v>45795</v>
      </c>
      <c r="B77" s="1" t="s">
        <v>110</v>
      </c>
      <c r="C77" s="1" t="s">
        <v>45</v>
      </c>
      <c r="D77" s="1" t="s">
        <v>46</v>
      </c>
      <c r="E77" s="1" t="s">
        <v>29</v>
      </c>
      <c r="F77" s="1" t="s">
        <v>30</v>
      </c>
      <c r="G77" s="1" t="s">
        <v>16</v>
      </c>
      <c r="H77" s="1">
        <v>7</v>
      </c>
      <c r="I77" s="1">
        <v>20</v>
      </c>
      <c r="J77" s="1">
        <v>0</v>
      </c>
      <c r="K77" s="22">
        <v>140</v>
      </c>
    </row>
    <row r="78" spans="1:11" x14ac:dyDescent="0.3">
      <c r="A78" s="31">
        <v>45722</v>
      </c>
      <c r="B78" s="1" t="s">
        <v>111</v>
      </c>
      <c r="C78" s="1" t="s">
        <v>27</v>
      </c>
      <c r="D78" s="1" t="s">
        <v>28</v>
      </c>
      <c r="E78" s="1" t="s">
        <v>29</v>
      </c>
      <c r="F78" s="1" t="s">
        <v>30</v>
      </c>
      <c r="G78" s="1" t="s">
        <v>16</v>
      </c>
      <c r="H78" s="1">
        <v>1</v>
      </c>
      <c r="I78" s="1">
        <v>50</v>
      </c>
      <c r="J78" s="1">
        <v>0</v>
      </c>
      <c r="K78" s="22">
        <v>50</v>
      </c>
    </row>
    <row r="79" spans="1:11" x14ac:dyDescent="0.3">
      <c r="A79" s="31">
        <v>45731</v>
      </c>
      <c r="B79" s="1" t="s">
        <v>112</v>
      </c>
      <c r="C79" s="1" t="s">
        <v>18</v>
      </c>
      <c r="D79" s="1" t="s">
        <v>19</v>
      </c>
      <c r="E79" s="1" t="s">
        <v>20</v>
      </c>
      <c r="F79" s="1" t="s">
        <v>30</v>
      </c>
      <c r="G79" s="1" t="s">
        <v>22</v>
      </c>
      <c r="H79" s="1">
        <v>1</v>
      </c>
      <c r="I79" s="1">
        <v>35</v>
      </c>
      <c r="J79" s="1">
        <v>10</v>
      </c>
      <c r="K79" s="22">
        <v>31.5</v>
      </c>
    </row>
    <row r="80" spans="1:11" x14ac:dyDescent="0.3">
      <c r="A80" s="31">
        <v>45696</v>
      </c>
      <c r="B80" s="1" t="s">
        <v>113</v>
      </c>
      <c r="C80" s="1" t="s">
        <v>40</v>
      </c>
      <c r="D80" s="1" t="s">
        <v>41</v>
      </c>
      <c r="E80" s="1" t="s">
        <v>14</v>
      </c>
      <c r="F80" s="1" t="s">
        <v>33</v>
      </c>
      <c r="G80" s="1" t="s">
        <v>35</v>
      </c>
      <c r="H80" s="1">
        <v>1</v>
      </c>
      <c r="I80" s="1">
        <v>120</v>
      </c>
      <c r="J80" s="1">
        <v>10</v>
      </c>
      <c r="K80" s="22">
        <v>108</v>
      </c>
    </row>
    <row r="81" spans="1:11" x14ac:dyDescent="0.3">
      <c r="A81" s="31">
        <v>45791</v>
      </c>
      <c r="B81" s="1" t="s">
        <v>114</v>
      </c>
      <c r="C81" s="1" t="s">
        <v>27</v>
      </c>
      <c r="D81" s="1" t="s">
        <v>28</v>
      </c>
      <c r="E81" s="1" t="s">
        <v>29</v>
      </c>
      <c r="F81" s="1" t="s">
        <v>21</v>
      </c>
      <c r="G81" s="1" t="s">
        <v>35</v>
      </c>
      <c r="H81" s="1">
        <v>4</v>
      </c>
      <c r="I81" s="1">
        <v>50</v>
      </c>
      <c r="J81" s="1">
        <v>0</v>
      </c>
      <c r="K81" s="22">
        <v>200</v>
      </c>
    </row>
    <row r="82" spans="1:11" x14ac:dyDescent="0.3">
      <c r="A82" s="31">
        <v>45672</v>
      </c>
      <c r="B82" s="1" t="s">
        <v>115</v>
      </c>
      <c r="C82" s="1" t="s">
        <v>45</v>
      </c>
      <c r="D82" s="1" t="s">
        <v>46</v>
      </c>
      <c r="E82" s="1" t="s">
        <v>29</v>
      </c>
      <c r="F82" s="1" t="s">
        <v>30</v>
      </c>
      <c r="G82" s="1" t="s">
        <v>31</v>
      </c>
      <c r="H82" s="1">
        <v>7</v>
      </c>
      <c r="I82" s="1">
        <v>20</v>
      </c>
      <c r="J82" s="1">
        <v>0</v>
      </c>
      <c r="K82" s="22">
        <v>140</v>
      </c>
    </row>
    <row r="83" spans="1:11" x14ac:dyDescent="0.3">
      <c r="A83" s="31">
        <v>45834</v>
      </c>
      <c r="B83" s="1" t="s">
        <v>116</v>
      </c>
      <c r="C83" s="1" t="s">
        <v>12</v>
      </c>
      <c r="D83" s="1" t="s">
        <v>13</v>
      </c>
      <c r="E83" s="1" t="s">
        <v>14</v>
      </c>
      <c r="F83" s="1" t="s">
        <v>33</v>
      </c>
      <c r="G83" s="1" t="s">
        <v>49</v>
      </c>
      <c r="H83" s="1">
        <v>2</v>
      </c>
      <c r="I83" s="1">
        <v>60</v>
      </c>
      <c r="J83" s="1">
        <v>10</v>
      </c>
      <c r="K83" s="22">
        <v>108</v>
      </c>
    </row>
    <row r="84" spans="1:11" x14ac:dyDescent="0.3">
      <c r="A84" s="31">
        <v>45817</v>
      </c>
      <c r="B84" s="1" t="s">
        <v>117</v>
      </c>
      <c r="C84" s="1" t="s">
        <v>27</v>
      </c>
      <c r="D84" s="1" t="s">
        <v>28</v>
      </c>
      <c r="E84" s="1" t="s">
        <v>29</v>
      </c>
      <c r="F84" s="1" t="s">
        <v>15</v>
      </c>
      <c r="G84" s="1" t="s">
        <v>35</v>
      </c>
      <c r="H84" s="1">
        <v>9</v>
      </c>
      <c r="I84" s="1">
        <v>50</v>
      </c>
      <c r="J84" s="1">
        <v>5</v>
      </c>
      <c r="K84" s="22">
        <v>427.5</v>
      </c>
    </row>
    <row r="85" spans="1:11" x14ac:dyDescent="0.3">
      <c r="A85" s="31">
        <v>45766</v>
      </c>
      <c r="B85" s="1" t="s">
        <v>118</v>
      </c>
      <c r="C85" s="1" t="s">
        <v>24</v>
      </c>
      <c r="D85" s="1" t="s">
        <v>25</v>
      </c>
      <c r="E85" s="1" t="s">
        <v>20</v>
      </c>
      <c r="F85" s="1" t="s">
        <v>30</v>
      </c>
      <c r="G85" s="1" t="s">
        <v>16</v>
      </c>
      <c r="H85" s="1">
        <v>7</v>
      </c>
      <c r="I85" s="1">
        <v>25</v>
      </c>
      <c r="J85" s="1">
        <v>5</v>
      </c>
      <c r="K85" s="22">
        <v>166.25</v>
      </c>
    </row>
    <row r="86" spans="1:11" x14ac:dyDescent="0.3">
      <c r="A86" s="31">
        <v>45699</v>
      </c>
      <c r="B86" s="1" t="s">
        <v>119</v>
      </c>
      <c r="C86" s="1" t="s">
        <v>12</v>
      </c>
      <c r="D86" s="1" t="s">
        <v>13</v>
      </c>
      <c r="E86" s="1" t="s">
        <v>14</v>
      </c>
      <c r="F86" s="1" t="s">
        <v>30</v>
      </c>
      <c r="G86" s="1" t="s">
        <v>49</v>
      </c>
      <c r="H86" s="1">
        <v>1</v>
      </c>
      <c r="I86" s="1">
        <v>60</v>
      </c>
      <c r="J86" s="1">
        <v>10</v>
      </c>
      <c r="K86" s="22">
        <v>54</v>
      </c>
    </row>
    <row r="87" spans="1:11" x14ac:dyDescent="0.3">
      <c r="A87" s="31">
        <v>45793</v>
      </c>
      <c r="B87" s="1" t="s">
        <v>120</v>
      </c>
      <c r="C87" s="1" t="s">
        <v>18</v>
      </c>
      <c r="D87" s="1" t="s">
        <v>19</v>
      </c>
      <c r="E87" s="1" t="s">
        <v>20</v>
      </c>
      <c r="F87" s="1" t="s">
        <v>15</v>
      </c>
      <c r="G87" s="1" t="s">
        <v>49</v>
      </c>
      <c r="H87" s="1">
        <v>1</v>
      </c>
      <c r="I87" s="1">
        <v>35</v>
      </c>
      <c r="J87" s="1">
        <v>10</v>
      </c>
      <c r="K87" s="22">
        <v>31.5</v>
      </c>
    </row>
    <row r="88" spans="1:11" x14ac:dyDescent="0.3">
      <c r="A88" s="31">
        <v>45733</v>
      </c>
      <c r="B88" s="1" t="s">
        <v>121</v>
      </c>
      <c r="C88" s="1" t="s">
        <v>12</v>
      </c>
      <c r="D88" s="1" t="s">
        <v>13</v>
      </c>
      <c r="E88" s="1" t="s">
        <v>14</v>
      </c>
      <c r="F88" s="1" t="s">
        <v>15</v>
      </c>
      <c r="G88" s="1" t="s">
        <v>49</v>
      </c>
      <c r="H88" s="1">
        <v>3</v>
      </c>
      <c r="I88" s="1">
        <v>60</v>
      </c>
      <c r="J88" s="1">
        <v>10</v>
      </c>
      <c r="K88" s="22">
        <v>162</v>
      </c>
    </row>
    <row r="89" spans="1:11" x14ac:dyDescent="0.3">
      <c r="A89" s="31">
        <v>45679</v>
      </c>
      <c r="B89" s="1" t="s">
        <v>122</v>
      </c>
      <c r="C89" s="1" t="s">
        <v>27</v>
      </c>
      <c r="D89" s="1" t="s">
        <v>28</v>
      </c>
      <c r="E89" s="1" t="s">
        <v>29</v>
      </c>
      <c r="F89" s="1" t="s">
        <v>21</v>
      </c>
      <c r="G89" s="1" t="s">
        <v>22</v>
      </c>
      <c r="H89" s="1">
        <v>9</v>
      </c>
      <c r="I89" s="1">
        <v>50</v>
      </c>
      <c r="J89" s="1">
        <v>0</v>
      </c>
      <c r="K89" s="22">
        <v>450</v>
      </c>
    </row>
    <row r="90" spans="1:11" x14ac:dyDescent="0.3">
      <c r="A90" s="31">
        <v>45836</v>
      </c>
      <c r="B90" s="1" t="s">
        <v>123</v>
      </c>
      <c r="C90" s="1" t="s">
        <v>27</v>
      </c>
      <c r="D90" s="1" t="s">
        <v>28</v>
      </c>
      <c r="E90" s="1" t="s">
        <v>29</v>
      </c>
      <c r="F90" s="1" t="s">
        <v>30</v>
      </c>
      <c r="G90" s="1" t="s">
        <v>22</v>
      </c>
      <c r="H90" s="1">
        <v>5</v>
      </c>
      <c r="I90" s="1">
        <v>50</v>
      </c>
      <c r="J90" s="1">
        <v>5</v>
      </c>
      <c r="K90" s="22">
        <v>237.5</v>
      </c>
    </row>
    <row r="91" spans="1:11" x14ac:dyDescent="0.3">
      <c r="A91" s="31">
        <v>45704</v>
      </c>
      <c r="B91" s="1" t="s">
        <v>124</v>
      </c>
      <c r="C91" s="1" t="s">
        <v>24</v>
      </c>
      <c r="D91" s="1" t="s">
        <v>25</v>
      </c>
      <c r="E91" s="1" t="s">
        <v>20</v>
      </c>
      <c r="F91" s="1" t="s">
        <v>30</v>
      </c>
      <c r="G91" s="1" t="s">
        <v>22</v>
      </c>
      <c r="H91" s="1">
        <v>4</v>
      </c>
      <c r="I91" s="1">
        <v>25</v>
      </c>
      <c r="J91" s="1">
        <v>10</v>
      </c>
      <c r="K91" s="22">
        <v>90</v>
      </c>
    </row>
    <row r="92" spans="1:11" x14ac:dyDescent="0.3">
      <c r="A92" s="31">
        <v>45800</v>
      </c>
      <c r="B92" s="1" t="s">
        <v>125</v>
      </c>
      <c r="C92" s="1" t="s">
        <v>18</v>
      </c>
      <c r="D92" s="1" t="s">
        <v>19</v>
      </c>
      <c r="E92" s="1" t="s">
        <v>20</v>
      </c>
      <c r="F92" s="1" t="s">
        <v>21</v>
      </c>
      <c r="G92" s="1" t="s">
        <v>35</v>
      </c>
      <c r="H92" s="1">
        <v>9</v>
      </c>
      <c r="I92" s="1">
        <v>35</v>
      </c>
      <c r="J92" s="1">
        <v>0</v>
      </c>
      <c r="K92" s="22">
        <v>315</v>
      </c>
    </row>
    <row r="93" spans="1:11" x14ac:dyDescent="0.3">
      <c r="A93" s="31">
        <v>45671</v>
      </c>
      <c r="B93" s="1" t="s">
        <v>126</v>
      </c>
      <c r="C93" s="1" t="s">
        <v>12</v>
      </c>
      <c r="D93" s="1" t="s">
        <v>13</v>
      </c>
      <c r="E93" s="1" t="s">
        <v>14</v>
      </c>
      <c r="F93" s="1" t="s">
        <v>21</v>
      </c>
      <c r="G93" s="1" t="s">
        <v>31</v>
      </c>
      <c r="H93" s="1">
        <v>7</v>
      </c>
      <c r="I93" s="1">
        <v>60</v>
      </c>
      <c r="J93" s="1">
        <v>0</v>
      </c>
      <c r="K93" s="22">
        <v>420</v>
      </c>
    </row>
    <row r="94" spans="1:11" x14ac:dyDescent="0.3">
      <c r="A94" s="31">
        <v>45682</v>
      </c>
      <c r="B94" s="1" t="s">
        <v>127</v>
      </c>
      <c r="C94" s="1" t="s">
        <v>27</v>
      </c>
      <c r="D94" s="1" t="s">
        <v>28</v>
      </c>
      <c r="E94" s="1" t="s">
        <v>29</v>
      </c>
      <c r="F94" s="1" t="s">
        <v>15</v>
      </c>
      <c r="G94" s="1" t="s">
        <v>31</v>
      </c>
      <c r="H94" s="1">
        <v>6</v>
      </c>
      <c r="I94" s="1">
        <v>50</v>
      </c>
      <c r="J94" s="1">
        <v>0</v>
      </c>
      <c r="K94" s="22">
        <v>300</v>
      </c>
    </row>
    <row r="95" spans="1:11" x14ac:dyDescent="0.3">
      <c r="A95" s="31">
        <v>45756</v>
      </c>
      <c r="B95" s="1" t="s">
        <v>128</v>
      </c>
      <c r="C95" s="1" t="s">
        <v>27</v>
      </c>
      <c r="D95" s="1" t="s">
        <v>28</v>
      </c>
      <c r="E95" s="1" t="s">
        <v>29</v>
      </c>
      <c r="F95" s="1" t="s">
        <v>15</v>
      </c>
      <c r="G95" s="1" t="s">
        <v>22</v>
      </c>
      <c r="H95" s="1">
        <v>8</v>
      </c>
      <c r="I95" s="1">
        <v>50</v>
      </c>
      <c r="J95" s="1">
        <v>0</v>
      </c>
      <c r="K95" s="22">
        <v>400</v>
      </c>
    </row>
    <row r="96" spans="1:11" x14ac:dyDescent="0.3">
      <c r="A96" s="31">
        <v>45810</v>
      </c>
      <c r="B96" s="1" t="s">
        <v>129</v>
      </c>
      <c r="C96" s="1" t="s">
        <v>27</v>
      </c>
      <c r="D96" s="1" t="s">
        <v>28</v>
      </c>
      <c r="E96" s="1" t="s">
        <v>29</v>
      </c>
      <c r="F96" s="1" t="s">
        <v>21</v>
      </c>
      <c r="G96" s="1" t="s">
        <v>22</v>
      </c>
      <c r="H96" s="1">
        <v>9</v>
      </c>
      <c r="I96" s="1">
        <v>50</v>
      </c>
      <c r="J96" s="1">
        <v>0</v>
      </c>
      <c r="K96" s="22">
        <v>450</v>
      </c>
    </row>
    <row r="97" spans="1:11" x14ac:dyDescent="0.3">
      <c r="A97" s="31">
        <v>45747</v>
      </c>
      <c r="B97" s="1" t="s">
        <v>130</v>
      </c>
      <c r="C97" s="1" t="s">
        <v>27</v>
      </c>
      <c r="D97" s="1" t="s">
        <v>28</v>
      </c>
      <c r="E97" s="1" t="s">
        <v>29</v>
      </c>
      <c r="F97" s="1" t="s">
        <v>33</v>
      </c>
      <c r="G97" s="1" t="s">
        <v>49</v>
      </c>
      <c r="H97" s="1">
        <v>1</v>
      </c>
      <c r="I97" s="1">
        <v>50</v>
      </c>
      <c r="J97" s="1">
        <v>10</v>
      </c>
      <c r="K97" s="22">
        <v>45</v>
      </c>
    </row>
    <row r="98" spans="1:11" x14ac:dyDescent="0.3">
      <c r="A98" s="31">
        <v>45748</v>
      </c>
      <c r="B98" s="1" t="s">
        <v>131</v>
      </c>
      <c r="C98" s="1" t="s">
        <v>27</v>
      </c>
      <c r="D98" s="1" t="s">
        <v>28</v>
      </c>
      <c r="E98" s="1" t="s">
        <v>29</v>
      </c>
      <c r="F98" s="1" t="s">
        <v>33</v>
      </c>
      <c r="G98" s="1" t="s">
        <v>49</v>
      </c>
      <c r="H98" s="1">
        <v>3</v>
      </c>
      <c r="I98" s="1">
        <v>50</v>
      </c>
      <c r="J98" s="1">
        <v>0</v>
      </c>
      <c r="K98" s="22">
        <v>150</v>
      </c>
    </row>
    <row r="99" spans="1:11" x14ac:dyDescent="0.3">
      <c r="A99" s="31">
        <v>45812</v>
      </c>
      <c r="B99" s="1" t="s">
        <v>132</v>
      </c>
      <c r="C99" s="1" t="s">
        <v>27</v>
      </c>
      <c r="D99" s="1" t="s">
        <v>28</v>
      </c>
      <c r="E99" s="1" t="s">
        <v>29</v>
      </c>
      <c r="F99" s="1" t="s">
        <v>21</v>
      </c>
      <c r="G99" s="1" t="s">
        <v>22</v>
      </c>
      <c r="H99" s="1">
        <v>9</v>
      </c>
      <c r="I99" s="1">
        <v>50</v>
      </c>
      <c r="J99" s="1">
        <v>10</v>
      </c>
      <c r="K99" s="22">
        <v>405</v>
      </c>
    </row>
    <row r="100" spans="1:11" x14ac:dyDescent="0.3">
      <c r="A100" s="31">
        <v>45831</v>
      </c>
      <c r="B100" s="1" t="s">
        <v>133</v>
      </c>
      <c r="C100" s="1" t="s">
        <v>18</v>
      </c>
      <c r="D100" s="1" t="s">
        <v>19</v>
      </c>
      <c r="E100" s="1" t="s">
        <v>20</v>
      </c>
      <c r="F100" s="1" t="s">
        <v>21</v>
      </c>
      <c r="G100" s="1" t="s">
        <v>49</v>
      </c>
      <c r="H100" s="1">
        <v>5</v>
      </c>
      <c r="I100" s="1">
        <v>35</v>
      </c>
      <c r="J100" s="1">
        <v>10</v>
      </c>
      <c r="K100" s="22">
        <v>157.5</v>
      </c>
    </row>
    <row r="101" spans="1:11" x14ac:dyDescent="0.3">
      <c r="A101" s="31">
        <v>45809</v>
      </c>
      <c r="B101" s="1" t="s">
        <v>134</v>
      </c>
      <c r="C101" s="1" t="s">
        <v>45</v>
      </c>
      <c r="D101" s="1" t="s">
        <v>46</v>
      </c>
      <c r="E101" s="1" t="s">
        <v>29</v>
      </c>
      <c r="F101" s="1" t="s">
        <v>15</v>
      </c>
      <c r="G101" s="1" t="s">
        <v>35</v>
      </c>
      <c r="H101" s="1">
        <v>6</v>
      </c>
      <c r="I101" s="1">
        <v>20</v>
      </c>
      <c r="J101" s="1">
        <v>5</v>
      </c>
      <c r="K101" s="22">
        <v>114</v>
      </c>
    </row>
    <row r="102" spans="1:11" x14ac:dyDescent="0.3">
      <c r="A102" s="31">
        <v>45725</v>
      </c>
      <c r="B102" s="1" t="s">
        <v>135</v>
      </c>
      <c r="C102" s="1" t="s">
        <v>24</v>
      </c>
      <c r="D102" s="1" t="s">
        <v>25</v>
      </c>
      <c r="E102" s="1" t="s">
        <v>20</v>
      </c>
      <c r="F102" s="1" t="s">
        <v>21</v>
      </c>
      <c r="G102" s="1" t="s">
        <v>16</v>
      </c>
      <c r="H102" s="1">
        <v>8</v>
      </c>
      <c r="I102" s="1">
        <v>25</v>
      </c>
      <c r="J102" s="1">
        <v>0</v>
      </c>
      <c r="K102" s="22">
        <v>200</v>
      </c>
    </row>
    <row r="103" spans="1:11" x14ac:dyDescent="0.3">
      <c r="A103" s="31">
        <v>45769</v>
      </c>
      <c r="B103" s="1" t="s">
        <v>136</v>
      </c>
      <c r="C103" s="1" t="s">
        <v>24</v>
      </c>
      <c r="D103" s="1" t="s">
        <v>25</v>
      </c>
      <c r="E103" s="1" t="s">
        <v>20</v>
      </c>
      <c r="F103" s="1" t="s">
        <v>15</v>
      </c>
      <c r="G103" s="1" t="s">
        <v>35</v>
      </c>
      <c r="H103" s="1">
        <v>5</v>
      </c>
      <c r="I103" s="1">
        <v>25</v>
      </c>
      <c r="J103" s="1">
        <v>0</v>
      </c>
      <c r="K103" s="22">
        <v>125</v>
      </c>
    </row>
    <row r="104" spans="1:11" x14ac:dyDescent="0.3">
      <c r="A104" s="31">
        <v>45691</v>
      </c>
      <c r="B104" s="1" t="s">
        <v>137</v>
      </c>
      <c r="C104" s="1" t="s">
        <v>40</v>
      </c>
      <c r="D104" s="1" t="s">
        <v>41</v>
      </c>
      <c r="E104" s="1" t="s">
        <v>14</v>
      </c>
      <c r="F104" s="1" t="s">
        <v>33</v>
      </c>
      <c r="G104" s="1" t="s">
        <v>22</v>
      </c>
      <c r="H104" s="1">
        <v>6</v>
      </c>
      <c r="I104" s="1">
        <v>120</v>
      </c>
      <c r="J104" s="1">
        <v>10</v>
      </c>
      <c r="K104" s="22">
        <v>648</v>
      </c>
    </row>
    <row r="105" spans="1:11" x14ac:dyDescent="0.3">
      <c r="A105" s="31">
        <v>45699</v>
      </c>
      <c r="B105" s="1" t="s">
        <v>138</v>
      </c>
      <c r="C105" s="1" t="s">
        <v>18</v>
      </c>
      <c r="D105" s="1" t="s">
        <v>19</v>
      </c>
      <c r="E105" s="1" t="s">
        <v>20</v>
      </c>
      <c r="F105" s="1" t="s">
        <v>30</v>
      </c>
      <c r="G105" s="1" t="s">
        <v>16</v>
      </c>
      <c r="H105" s="1">
        <v>6</v>
      </c>
      <c r="I105" s="1">
        <v>35</v>
      </c>
      <c r="J105" s="1">
        <v>10</v>
      </c>
      <c r="K105" s="22">
        <v>189</v>
      </c>
    </row>
    <row r="106" spans="1:11" x14ac:dyDescent="0.3">
      <c r="A106" s="31">
        <v>45744</v>
      </c>
      <c r="B106" s="1" t="s">
        <v>139</v>
      </c>
      <c r="C106" s="1" t="s">
        <v>27</v>
      </c>
      <c r="D106" s="1" t="s">
        <v>28</v>
      </c>
      <c r="E106" s="1" t="s">
        <v>29</v>
      </c>
      <c r="F106" s="1" t="s">
        <v>30</v>
      </c>
      <c r="G106" s="1" t="s">
        <v>22</v>
      </c>
      <c r="H106" s="1">
        <v>4</v>
      </c>
      <c r="I106" s="1">
        <v>50</v>
      </c>
      <c r="J106" s="1">
        <v>0</v>
      </c>
      <c r="K106" s="22">
        <v>200</v>
      </c>
    </row>
    <row r="107" spans="1:11" x14ac:dyDescent="0.3">
      <c r="A107" s="31">
        <v>45774</v>
      </c>
      <c r="B107" s="1" t="s">
        <v>140</v>
      </c>
      <c r="C107" s="1" t="s">
        <v>45</v>
      </c>
      <c r="D107" s="1" t="s">
        <v>46</v>
      </c>
      <c r="E107" s="1" t="s">
        <v>29</v>
      </c>
      <c r="F107" s="1" t="s">
        <v>33</v>
      </c>
      <c r="G107" s="1" t="s">
        <v>49</v>
      </c>
      <c r="H107" s="1">
        <v>7</v>
      </c>
      <c r="I107" s="1">
        <v>20</v>
      </c>
      <c r="J107" s="1">
        <v>10</v>
      </c>
      <c r="K107" s="22">
        <v>126</v>
      </c>
    </row>
    <row r="108" spans="1:11" x14ac:dyDescent="0.3">
      <c r="A108" s="31">
        <v>45738</v>
      </c>
      <c r="B108" s="1" t="s">
        <v>141</v>
      </c>
      <c r="C108" s="1" t="s">
        <v>27</v>
      </c>
      <c r="D108" s="1" t="s">
        <v>28</v>
      </c>
      <c r="E108" s="1" t="s">
        <v>29</v>
      </c>
      <c r="F108" s="1" t="s">
        <v>21</v>
      </c>
      <c r="G108" s="1" t="s">
        <v>16</v>
      </c>
      <c r="H108" s="1">
        <v>5</v>
      </c>
      <c r="I108" s="1">
        <v>50</v>
      </c>
      <c r="J108" s="1">
        <v>5</v>
      </c>
      <c r="K108" s="22">
        <v>237.5</v>
      </c>
    </row>
    <row r="109" spans="1:11" x14ac:dyDescent="0.3">
      <c r="A109" s="31">
        <v>45741</v>
      </c>
      <c r="B109" s="1" t="s">
        <v>142</v>
      </c>
      <c r="C109" s="1" t="s">
        <v>27</v>
      </c>
      <c r="D109" s="1" t="s">
        <v>28</v>
      </c>
      <c r="E109" s="1" t="s">
        <v>29</v>
      </c>
      <c r="F109" s="1" t="s">
        <v>30</v>
      </c>
      <c r="G109" s="1" t="s">
        <v>35</v>
      </c>
      <c r="H109" s="1">
        <v>8</v>
      </c>
      <c r="I109" s="1">
        <v>50</v>
      </c>
      <c r="J109" s="1">
        <v>0</v>
      </c>
      <c r="K109" s="22">
        <v>400</v>
      </c>
    </row>
    <row r="110" spans="1:11" x14ac:dyDescent="0.3">
      <c r="A110" s="31">
        <v>45673</v>
      </c>
      <c r="B110" s="1" t="s">
        <v>143</v>
      </c>
      <c r="C110" s="1" t="s">
        <v>27</v>
      </c>
      <c r="D110" s="1" t="s">
        <v>28</v>
      </c>
      <c r="E110" s="1" t="s">
        <v>29</v>
      </c>
      <c r="F110" s="1" t="s">
        <v>21</v>
      </c>
      <c r="G110" s="1" t="s">
        <v>49</v>
      </c>
      <c r="H110" s="1">
        <v>3</v>
      </c>
      <c r="I110" s="1">
        <v>50</v>
      </c>
      <c r="J110" s="1">
        <v>10</v>
      </c>
      <c r="K110" s="22">
        <v>135</v>
      </c>
    </row>
    <row r="111" spans="1:11" x14ac:dyDescent="0.3">
      <c r="A111" s="31">
        <v>45821</v>
      </c>
      <c r="B111" s="1" t="s">
        <v>144</v>
      </c>
      <c r="C111" s="1" t="s">
        <v>18</v>
      </c>
      <c r="D111" s="1" t="s">
        <v>19</v>
      </c>
      <c r="E111" s="1" t="s">
        <v>20</v>
      </c>
      <c r="F111" s="1" t="s">
        <v>30</v>
      </c>
      <c r="G111" s="1" t="s">
        <v>16</v>
      </c>
      <c r="H111" s="1">
        <v>1</v>
      </c>
      <c r="I111" s="1">
        <v>35</v>
      </c>
      <c r="J111" s="1">
        <v>0</v>
      </c>
      <c r="K111" s="22">
        <v>35</v>
      </c>
    </row>
    <row r="112" spans="1:11" x14ac:dyDescent="0.3">
      <c r="A112" s="31">
        <v>45774</v>
      </c>
      <c r="B112" s="1" t="s">
        <v>145</v>
      </c>
      <c r="C112" s="1" t="s">
        <v>45</v>
      </c>
      <c r="D112" s="1" t="s">
        <v>46</v>
      </c>
      <c r="E112" s="1" t="s">
        <v>29</v>
      </c>
      <c r="F112" s="1" t="s">
        <v>21</v>
      </c>
      <c r="G112" s="1" t="s">
        <v>31</v>
      </c>
      <c r="H112" s="1">
        <v>8</v>
      </c>
      <c r="I112" s="1">
        <v>20</v>
      </c>
      <c r="J112" s="1">
        <v>5</v>
      </c>
      <c r="K112" s="22">
        <v>152</v>
      </c>
    </row>
    <row r="113" spans="1:11" x14ac:dyDescent="0.3">
      <c r="A113" s="31">
        <v>45737</v>
      </c>
      <c r="B113" s="1" t="s">
        <v>146</v>
      </c>
      <c r="C113" s="1" t="s">
        <v>12</v>
      </c>
      <c r="D113" s="1" t="s">
        <v>13</v>
      </c>
      <c r="E113" s="1" t="s">
        <v>14</v>
      </c>
      <c r="F113" s="1" t="s">
        <v>15</v>
      </c>
      <c r="G113" s="1" t="s">
        <v>31</v>
      </c>
      <c r="H113" s="1">
        <v>3</v>
      </c>
      <c r="I113" s="1">
        <v>60</v>
      </c>
      <c r="J113" s="1">
        <v>5</v>
      </c>
      <c r="K113" s="22">
        <v>171</v>
      </c>
    </row>
    <row r="114" spans="1:11" x14ac:dyDescent="0.3">
      <c r="A114" s="31">
        <v>45738</v>
      </c>
      <c r="B114" s="1" t="s">
        <v>147</v>
      </c>
      <c r="C114" s="1" t="s">
        <v>24</v>
      </c>
      <c r="D114" s="1" t="s">
        <v>25</v>
      </c>
      <c r="E114" s="1" t="s">
        <v>20</v>
      </c>
      <c r="F114" s="1" t="s">
        <v>30</v>
      </c>
      <c r="G114" s="1" t="s">
        <v>22</v>
      </c>
      <c r="H114" s="1">
        <v>4</v>
      </c>
      <c r="I114" s="1">
        <v>25</v>
      </c>
      <c r="J114" s="1">
        <v>0</v>
      </c>
      <c r="K114" s="22">
        <v>100</v>
      </c>
    </row>
    <row r="115" spans="1:11" x14ac:dyDescent="0.3">
      <c r="A115" s="31">
        <v>45671</v>
      </c>
      <c r="B115" s="1" t="s">
        <v>148</v>
      </c>
      <c r="C115" s="1" t="s">
        <v>12</v>
      </c>
      <c r="D115" s="1" t="s">
        <v>13</v>
      </c>
      <c r="E115" s="1" t="s">
        <v>14</v>
      </c>
      <c r="F115" s="1" t="s">
        <v>21</v>
      </c>
      <c r="G115" s="1" t="s">
        <v>16</v>
      </c>
      <c r="H115" s="1">
        <v>7</v>
      </c>
      <c r="I115" s="1">
        <v>60</v>
      </c>
      <c r="J115" s="1">
        <v>5</v>
      </c>
      <c r="K115" s="22">
        <v>399</v>
      </c>
    </row>
    <row r="116" spans="1:11" x14ac:dyDescent="0.3">
      <c r="A116" s="31">
        <v>45753</v>
      </c>
      <c r="B116" s="1" t="s">
        <v>149</v>
      </c>
      <c r="C116" s="1" t="s">
        <v>12</v>
      </c>
      <c r="D116" s="1" t="s">
        <v>13</v>
      </c>
      <c r="E116" s="1" t="s">
        <v>14</v>
      </c>
      <c r="F116" s="1" t="s">
        <v>21</v>
      </c>
      <c r="G116" s="1" t="s">
        <v>22</v>
      </c>
      <c r="H116" s="1">
        <v>4</v>
      </c>
      <c r="I116" s="1">
        <v>60</v>
      </c>
      <c r="J116" s="1">
        <v>5</v>
      </c>
      <c r="K116" s="22">
        <v>228</v>
      </c>
    </row>
    <row r="117" spans="1:11" x14ac:dyDescent="0.3">
      <c r="A117" s="31">
        <v>45748</v>
      </c>
      <c r="B117" s="1" t="s">
        <v>150</v>
      </c>
      <c r="C117" s="1" t="s">
        <v>24</v>
      </c>
      <c r="D117" s="1" t="s">
        <v>25</v>
      </c>
      <c r="E117" s="1" t="s">
        <v>20</v>
      </c>
      <c r="F117" s="1" t="s">
        <v>30</v>
      </c>
      <c r="G117" s="1" t="s">
        <v>22</v>
      </c>
      <c r="H117" s="1">
        <v>8</v>
      </c>
      <c r="I117" s="1">
        <v>25</v>
      </c>
      <c r="J117" s="1">
        <v>5</v>
      </c>
      <c r="K117" s="22">
        <v>190</v>
      </c>
    </row>
    <row r="118" spans="1:11" x14ac:dyDescent="0.3">
      <c r="A118" s="31">
        <v>45683</v>
      </c>
      <c r="B118" s="1" t="s">
        <v>151</v>
      </c>
      <c r="C118" s="1" t="s">
        <v>24</v>
      </c>
      <c r="D118" s="1" t="s">
        <v>25</v>
      </c>
      <c r="E118" s="1" t="s">
        <v>20</v>
      </c>
      <c r="F118" s="1" t="s">
        <v>21</v>
      </c>
      <c r="G118" s="1" t="s">
        <v>49</v>
      </c>
      <c r="H118" s="1">
        <v>8</v>
      </c>
      <c r="I118" s="1">
        <v>25</v>
      </c>
      <c r="J118" s="1">
        <v>10</v>
      </c>
      <c r="K118" s="22">
        <v>180</v>
      </c>
    </row>
    <row r="119" spans="1:11" x14ac:dyDescent="0.3">
      <c r="A119" s="31">
        <v>45834</v>
      </c>
      <c r="B119" s="1" t="s">
        <v>152</v>
      </c>
      <c r="C119" s="1" t="s">
        <v>45</v>
      </c>
      <c r="D119" s="1" t="s">
        <v>46</v>
      </c>
      <c r="E119" s="1" t="s">
        <v>29</v>
      </c>
      <c r="F119" s="1" t="s">
        <v>30</v>
      </c>
      <c r="G119" s="1" t="s">
        <v>35</v>
      </c>
      <c r="H119" s="1">
        <v>3</v>
      </c>
      <c r="I119" s="1">
        <v>20</v>
      </c>
      <c r="J119" s="1">
        <v>10</v>
      </c>
      <c r="K119" s="22">
        <v>54</v>
      </c>
    </row>
    <row r="120" spans="1:11" x14ac:dyDescent="0.3">
      <c r="A120" s="31">
        <v>45660</v>
      </c>
      <c r="B120" s="1" t="s">
        <v>153</v>
      </c>
      <c r="C120" s="1" t="s">
        <v>45</v>
      </c>
      <c r="D120" s="1" t="s">
        <v>46</v>
      </c>
      <c r="E120" s="1" t="s">
        <v>29</v>
      </c>
      <c r="F120" s="1" t="s">
        <v>21</v>
      </c>
      <c r="G120" s="1" t="s">
        <v>49</v>
      </c>
      <c r="H120" s="1">
        <v>6</v>
      </c>
      <c r="I120" s="1">
        <v>20</v>
      </c>
      <c r="J120" s="1">
        <v>0</v>
      </c>
      <c r="K120" s="22">
        <v>120</v>
      </c>
    </row>
    <row r="121" spans="1:11" x14ac:dyDescent="0.3">
      <c r="A121" s="31">
        <v>45731</v>
      </c>
      <c r="B121" s="1" t="s">
        <v>154</v>
      </c>
      <c r="C121" s="1" t="s">
        <v>45</v>
      </c>
      <c r="D121" s="1" t="s">
        <v>46</v>
      </c>
      <c r="E121" s="1" t="s">
        <v>29</v>
      </c>
      <c r="F121" s="1" t="s">
        <v>15</v>
      </c>
      <c r="G121" s="1" t="s">
        <v>22</v>
      </c>
      <c r="H121" s="1">
        <v>5</v>
      </c>
      <c r="I121" s="1">
        <v>20</v>
      </c>
      <c r="J121" s="1">
        <v>10</v>
      </c>
      <c r="K121" s="22">
        <v>90</v>
      </c>
    </row>
    <row r="122" spans="1:11" x14ac:dyDescent="0.3">
      <c r="A122" s="31">
        <v>45822</v>
      </c>
      <c r="B122" s="1" t="s">
        <v>155</v>
      </c>
      <c r="C122" s="1" t="s">
        <v>45</v>
      </c>
      <c r="D122" s="1" t="s">
        <v>46</v>
      </c>
      <c r="E122" s="1" t="s">
        <v>29</v>
      </c>
      <c r="F122" s="1" t="s">
        <v>30</v>
      </c>
      <c r="G122" s="1" t="s">
        <v>35</v>
      </c>
      <c r="H122" s="1">
        <v>8</v>
      </c>
      <c r="I122" s="1">
        <v>20</v>
      </c>
      <c r="J122" s="1">
        <v>5</v>
      </c>
      <c r="K122" s="22">
        <v>152</v>
      </c>
    </row>
    <row r="123" spans="1:11" x14ac:dyDescent="0.3">
      <c r="A123" s="31">
        <v>45688</v>
      </c>
      <c r="B123" s="1" t="s">
        <v>156</v>
      </c>
      <c r="C123" s="1" t="s">
        <v>40</v>
      </c>
      <c r="D123" s="1" t="s">
        <v>41</v>
      </c>
      <c r="E123" s="1" t="s">
        <v>14</v>
      </c>
      <c r="F123" s="1" t="s">
        <v>30</v>
      </c>
      <c r="G123" s="1" t="s">
        <v>22</v>
      </c>
      <c r="H123" s="1">
        <v>8</v>
      </c>
      <c r="I123" s="1">
        <v>120</v>
      </c>
      <c r="J123" s="1">
        <v>10</v>
      </c>
      <c r="K123" s="22">
        <v>864</v>
      </c>
    </row>
    <row r="124" spans="1:11" x14ac:dyDescent="0.3">
      <c r="A124" s="31">
        <v>45719</v>
      </c>
      <c r="B124" s="1" t="s">
        <v>157</v>
      </c>
      <c r="C124" s="1" t="s">
        <v>45</v>
      </c>
      <c r="D124" s="1" t="s">
        <v>46</v>
      </c>
      <c r="E124" s="1" t="s">
        <v>29</v>
      </c>
      <c r="F124" s="1" t="s">
        <v>33</v>
      </c>
      <c r="G124" s="1" t="s">
        <v>16</v>
      </c>
      <c r="H124" s="1">
        <v>8</v>
      </c>
      <c r="I124" s="1">
        <v>20</v>
      </c>
      <c r="J124" s="1">
        <v>5</v>
      </c>
      <c r="K124" s="22">
        <v>152</v>
      </c>
    </row>
    <row r="125" spans="1:11" x14ac:dyDescent="0.3">
      <c r="A125" s="31">
        <v>45658</v>
      </c>
      <c r="B125" s="1" t="s">
        <v>158</v>
      </c>
      <c r="C125" s="1" t="s">
        <v>27</v>
      </c>
      <c r="D125" s="1" t="s">
        <v>28</v>
      </c>
      <c r="E125" s="1" t="s">
        <v>29</v>
      </c>
      <c r="F125" s="1" t="s">
        <v>21</v>
      </c>
      <c r="G125" s="1" t="s">
        <v>22</v>
      </c>
      <c r="H125" s="1">
        <v>6</v>
      </c>
      <c r="I125" s="1">
        <v>50</v>
      </c>
      <c r="J125" s="1">
        <v>5</v>
      </c>
      <c r="K125" s="22">
        <v>285</v>
      </c>
    </row>
    <row r="126" spans="1:11" x14ac:dyDescent="0.3">
      <c r="A126" s="31">
        <v>45780</v>
      </c>
      <c r="B126" s="1" t="s">
        <v>110</v>
      </c>
      <c r="C126" s="1" t="s">
        <v>24</v>
      </c>
      <c r="D126" s="1" t="s">
        <v>25</v>
      </c>
      <c r="E126" s="1" t="s">
        <v>20</v>
      </c>
      <c r="F126" s="1" t="s">
        <v>15</v>
      </c>
      <c r="G126" s="1" t="s">
        <v>35</v>
      </c>
      <c r="H126" s="1">
        <v>2</v>
      </c>
      <c r="I126" s="1">
        <v>25</v>
      </c>
      <c r="J126" s="1">
        <v>10</v>
      </c>
      <c r="K126" s="22">
        <v>45</v>
      </c>
    </row>
    <row r="127" spans="1:11" x14ac:dyDescent="0.3">
      <c r="A127" s="31">
        <v>45706</v>
      </c>
      <c r="B127" s="1" t="s">
        <v>159</v>
      </c>
      <c r="C127" s="1" t="s">
        <v>27</v>
      </c>
      <c r="D127" s="1" t="s">
        <v>28</v>
      </c>
      <c r="E127" s="1" t="s">
        <v>29</v>
      </c>
      <c r="F127" s="1" t="s">
        <v>15</v>
      </c>
      <c r="G127" s="1" t="s">
        <v>49</v>
      </c>
      <c r="H127" s="1">
        <v>5</v>
      </c>
      <c r="I127" s="1">
        <v>50</v>
      </c>
      <c r="J127" s="1">
        <v>10</v>
      </c>
      <c r="K127" s="22">
        <v>225</v>
      </c>
    </row>
    <row r="128" spans="1:11" x14ac:dyDescent="0.3">
      <c r="A128" s="31">
        <v>45814</v>
      </c>
      <c r="B128" s="1" t="s">
        <v>160</v>
      </c>
      <c r="C128" s="1" t="s">
        <v>18</v>
      </c>
      <c r="D128" s="1" t="s">
        <v>19</v>
      </c>
      <c r="E128" s="1" t="s">
        <v>20</v>
      </c>
      <c r="F128" s="1" t="s">
        <v>15</v>
      </c>
      <c r="G128" s="1" t="s">
        <v>31</v>
      </c>
      <c r="H128" s="1">
        <v>6</v>
      </c>
      <c r="I128" s="1">
        <v>35</v>
      </c>
      <c r="J128" s="1">
        <v>5</v>
      </c>
      <c r="K128" s="22">
        <v>199.5</v>
      </c>
    </row>
    <row r="129" spans="1:11" x14ac:dyDescent="0.3">
      <c r="A129" s="31">
        <v>45734</v>
      </c>
      <c r="B129" s="1" t="s">
        <v>161</v>
      </c>
      <c r="C129" s="1" t="s">
        <v>40</v>
      </c>
      <c r="D129" s="1" t="s">
        <v>41</v>
      </c>
      <c r="E129" s="1" t="s">
        <v>14</v>
      </c>
      <c r="F129" s="1" t="s">
        <v>33</v>
      </c>
      <c r="G129" s="1" t="s">
        <v>49</v>
      </c>
      <c r="H129" s="1">
        <v>5</v>
      </c>
      <c r="I129" s="1">
        <v>120</v>
      </c>
      <c r="J129" s="1">
        <v>5</v>
      </c>
      <c r="K129" s="22">
        <v>570</v>
      </c>
    </row>
    <row r="130" spans="1:11" x14ac:dyDescent="0.3">
      <c r="A130" s="31">
        <v>45837</v>
      </c>
      <c r="B130" s="1" t="s">
        <v>162</v>
      </c>
      <c r="C130" s="1" t="s">
        <v>18</v>
      </c>
      <c r="D130" s="1" t="s">
        <v>19</v>
      </c>
      <c r="E130" s="1" t="s">
        <v>20</v>
      </c>
      <c r="F130" s="1" t="s">
        <v>33</v>
      </c>
      <c r="G130" s="1" t="s">
        <v>16</v>
      </c>
      <c r="H130" s="1">
        <v>7</v>
      </c>
      <c r="I130" s="1">
        <v>35</v>
      </c>
      <c r="J130" s="1">
        <v>10</v>
      </c>
      <c r="K130" s="22">
        <v>220.5</v>
      </c>
    </row>
    <row r="131" spans="1:11" x14ac:dyDescent="0.3">
      <c r="A131" s="31">
        <v>45687</v>
      </c>
      <c r="B131" s="1" t="s">
        <v>163</v>
      </c>
      <c r="C131" s="1" t="s">
        <v>40</v>
      </c>
      <c r="D131" s="1" t="s">
        <v>41</v>
      </c>
      <c r="E131" s="1" t="s">
        <v>14</v>
      </c>
      <c r="F131" s="1" t="s">
        <v>15</v>
      </c>
      <c r="G131" s="1" t="s">
        <v>22</v>
      </c>
      <c r="H131" s="1">
        <v>2</v>
      </c>
      <c r="I131" s="1">
        <v>120</v>
      </c>
      <c r="J131" s="1">
        <v>5</v>
      </c>
      <c r="K131" s="22">
        <v>228</v>
      </c>
    </row>
    <row r="132" spans="1:11" x14ac:dyDescent="0.3">
      <c r="A132" s="31">
        <v>45747</v>
      </c>
      <c r="B132" s="1" t="s">
        <v>164</v>
      </c>
      <c r="C132" s="1" t="s">
        <v>45</v>
      </c>
      <c r="D132" s="1" t="s">
        <v>46</v>
      </c>
      <c r="E132" s="1" t="s">
        <v>29</v>
      </c>
      <c r="F132" s="1" t="s">
        <v>30</v>
      </c>
      <c r="G132" s="1" t="s">
        <v>31</v>
      </c>
      <c r="H132" s="1">
        <v>3</v>
      </c>
      <c r="I132" s="1">
        <v>20</v>
      </c>
      <c r="J132" s="1">
        <v>5</v>
      </c>
      <c r="K132" s="22">
        <v>57</v>
      </c>
    </row>
    <row r="133" spans="1:11" x14ac:dyDescent="0.3">
      <c r="A133" s="31">
        <v>45763</v>
      </c>
      <c r="B133" s="1" t="s">
        <v>165</v>
      </c>
      <c r="C133" s="1" t="s">
        <v>12</v>
      </c>
      <c r="D133" s="1" t="s">
        <v>13</v>
      </c>
      <c r="E133" s="1" t="s">
        <v>14</v>
      </c>
      <c r="F133" s="1" t="s">
        <v>30</v>
      </c>
      <c r="G133" s="1" t="s">
        <v>35</v>
      </c>
      <c r="H133" s="1">
        <v>2</v>
      </c>
      <c r="I133" s="1">
        <v>60</v>
      </c>
      <c r="J133" s="1">
        <v>10</v>
      </c>
      <c r="K133" s="22">
        <v>108</v>
      </c>
    </row>
    <row r="134" spans="1:11" x14ac:dyDescent="0.3">
      <c r="A134" s="31">
        <v>45823</v>
      </c>
      <c r="B134" s="1" t="s">
        <v>166</v>
      </c>
      <c r="C134" s="1" t="s">
        <v>45</v>
      </c>
      <c r="D134" s="1" t="s">
        <v>46</v>
      </c>
      <c r="E134" s="1" t="s">
        <v>29</v>
      </c>
      <c r="F134" s="1" t="s">
        <v>30</v>
      </c>
      <c r="G134" s="1" t="s">
        <v>22</v>
      </c>
      <c r="H134" s="1">
        <v>9</v>
      </c>
      <c r="I134" s="1">
        <v>20</v>
      </c>
      <c r="J134" s="1">
        <v>10</v>
      </c>
      <c r="K134" s="22">
        <v>162</v>
      </c>
    </row>
    <row r="135" spans="1:11" x14ac:dyDescent="0.3">
      <c r="A135" s="31">
        <v>45777</v>
      </c>
      <c r="B135" s="1" t="s">
        <v>167</v>
      </c>
      <c r="C135" s="1" t="s">
        <v>40</v>
      </c>
      <c r="D135" s="1" t="s">
        <v>41</v>
      </c>
      <c r="E135" s="1" t="s">
        <v>14</v>
      </c>
      <c r="F135" s="1" t="s">
        <v>15</v>
      </c>
      <c r="G135" s="1" t="s">
        <v>49</v>
      </c>
      <c r="H135" s="1">
        <v>7</v>
      </c>
      <c r="I135" s="1">
        <v>120</v>
      </c>
      <c r="J135" s="1">
        <v>10</v>
      </c>
      <c r="K135" s="22">
        <v>756</v>
      </c>
    </row>
    <row r="136" spans="1:11" x14ac:dyDescent="0.3">
      <c r="A136" s="31">
        <v>45825</v>
      </c>
      <c r="B136" s="1" t="s">
        <v>168</v>
      </c>
      <c r="C136" s="1" t="s">
        <v>24</v>
      </c>
      <c r="D136" s="1" t="s">
        <v>25</v>
      </c>
      <c r="E136" s="1" t="s">
        <v>20</v>
      </c>
      <c r="F136" s="1" t="s">
        <v>33</v>
      </c>
      <c r="G136" s="1" t="s">
        <v>16</v>
      </c>
      <c r="H136" s="1">
        <v>7</v>
      </c>
      <c r="I136" s="1">
        <v>25</v>
      </c>
      <c r="J136" s="1">
        <v>5</v>
      </c>
      <c r="K136" s="22">
        <v>166.25</v>
      </c>
    </row>
    <row r="137" spans="1:11" x14ac:dyDescent="0.3">
      <c r="A137" s="31">
        <v>45816</v>
      </c>
      <c r="B137" s="1" t="s">
        <v>169</v>
      </c>
      <c r="C137" s="1" t="s">
        <v>45</v>
      </c>
      <c r="D137" s="1" t="s">
        <v>46</v>
      </c>
      <c r="E137" s="1" t="s">
        <v>29</v>
      </c>
      <c r="F137" s="1" t="s">
        <v>15</v>
      </c>
      <c r="G137" s="1" t="s">
        <v>35</v>
      </c>
      <c r="H137" s="1">
        <v>8</v>
      </c>
      <c r="I137" s="1">
        <v>20</v>
      </c>
      <c r="J137" s="1">
        <v>5</v>
      </c>
      <c r="K137" s="22">
        <v>152</v>
      </c>
    </row>
    <row r="138" spans="1:11" x14ac:dyDescent="0.3">
      <c r="A138" s="31">
        <v>45795</v>
      </c>
      <c r="B138" s="1" t="s">
        <v>170</v>
      </c>
      <c r="C138" s="1" t="s">
        <v>24</v>
      </c>
      <c r="D138" s="1" t="s">
        <v>25</v>
      </c>
      <c r="E138" s="1" t="s">
        <v>20</v>
      </c>
      <c r="F138" s="1" t="s">
        <v>30</v>
      </c>
      <c r="G138" s="1" t="s">
        <v>35</v>
      </c>
      <c r="H138" s="1">
        <v>5</v>
      </c>
      <c r="I138" s="1">
        <v>25</v>
      </c>
      <c r="J138" s="1">
        <v>0</v>
      </c>
      <c r="K138" s="22">
        <v>125</v>
      </c>
    </row>
    <row r="139" spans="1:11" x14ac:dyDescent="0.3">
      <c r="A139" s="31">
        <v>45802</v>
      </c>
      <c r="B139" s="1" t="s">
        <v>171</v>
      </c>
      <c r="C139" s="1" t="s">
        <v>24</v>
      </c>
      <c r="D139" s="1" t="s">
        <v>25</v>
      </c>
      <c r="E139" s="1" t="s">
        <v>20</v>
      </c>
      <c r="F139" s="1" t="s">
        <v>21</v>
      </c>
      <c r="G139" s="1" t="s">
        <v>31</v>
      </c>
      <c r="H139" s="1">
        <v>2</v>
      </c>
      <c r="I139" s="1">
        <v>25</v>
      </c>
      <c r="J139" s="1">
        <v>0</v>
      </c>
      <c r="K139" s="22">
        <v>50</v>
      </c>
    </row>
    <row r="140" spans="1:11" x14ac:dyDescent="0.3">
      <c r="A140" s="31">
        <v>45682</v>
      </c>
      <c r="B140" s="1" t="s">
        <v>172</v>
      </c>
      <c r="C140" s="1" t="s">
        <v>18</v>
      </c>
      <c r="D140" s="1" t="s">
        <v>19</v>
      </c>
      <c r="E140" s="1" t="s">
        <v>20</v>
      </c>
      <c r="F140" s="1" t="s">
        <v>33</v>
      </c>
      <c r="G140" s="1" t="s">
        <v>35</v>
      </c>
      <c r="H140" s="1">
        <v>5</v>
      </c>
      <c r="I140" s="1">
        <v>35</v>
      </c>
      <c r="J140" s="1">
        <v>0</v>
      </c>
      <c r="K140" s="22">
        <v>175</v>
      </c>
    </row>
    <row r="141" spans="1:11" x14ac:dyDescent="0.3">
      <c r="A141" s="31">
        <v>45722</v>
      </c>
      <c r="B141" s="1" t="s">
        <v>173</v>
      </c>
      <c r="C141" s="1" t="s">
        <v>12</v>
      </c>
      <c r="D141" s="1" t="s">
        <v>13</v>
      </c>
      <c r="E141" s="1" t="s">
        <v>14</v>
      </c>
      <c r="F141" s="1" t="s">
        <v>21</v>
      </c>
      <c r="G141" s="1" t="s">
        <v>49</v>
      </c>
      <c r="H141" s="1">
        <v>5</v>
      </c>
      <c r="I141" s="1">
        <v>60</v>
      </c>
      <c r="J141" s="1">
        <v>10</v>
      </c>
      <c r="K141" s="22">
        <v>270</v>
      </c>
    </row>
    <row r="142" spans="1:11" x14ac:dyDescent="0.3">
      <c r="A142" s="31">
        <v>45686</v>
      </c>
      <c r="B142" s="1" t="s">
        <v>174</v>
      </c>
      <c r="C142" s="1" t="s">
        <v>18</v>
      </c>
      <c r="D142" s="1" t="s">
        <v>19</v>
      </c>
      <c r="E142" s="1" t="s">
        <v>20</v>
      </c>
      <c r="F142" s="1" t="s">
        <v>15</v>
      </c>
      <c r="G142" s="1" t="s">
        <v>35</v>
      </c>
      <c r="H142" s="1">
        <v>4</v>
      </c>
      <c r="I142" s="1">
        <v>35</v>
      </c>
      <c r="J142" s="1">
        <v>10</v>
      </c>
      <c r="K142" s="22">
        <v>126</v>
      </c>
    </row>
    <row r="143" spans="1:11" x14ac:dyDescent="0.3">
      <c r="A143" s="31">
        <v>45760</v>
      </c>
      <c r="B143" s="1" t="s">
        <v>175</v>
      </c>
      <c r="C143" s="1" t="s">
        <v>12</v>
      </c>
      <c r="D143" s="1" t="s">
        <v>13</v>
      </c>
      <c r="E143" s="1" t="s">
        <v>14</v>
      </c>
      <c r="F143" s="1" t="s">
        <v>15</v>
      </c>
      <c r="G143" s="1" t="s">
        <v>35</v>
      </c>
      <c r="H143" s="1">
        <v>3</v>
      </c>
      <c r="I143" s="1">
        <v>60</v>
      </c>
      <c r="J143" s="1">
        <v>5</v>
      </c>
      <c r="K143" s="22">
        <v>171</v>
      </c>
    </row>
    <row r="144" spans="1:11" x14ac:dyDescent="0.3">
      <c r="A144" s="31">
        <v>45750</v>
      </c>
      <c r="B144" s="1" t="s">
        <v>176</v>
      </c>
      <c r="C144" s="1" t="s">
        <v>24</v>
      </c>
      <c r="D144" s="1" t="s">
        <v>25</v>
      </c>
      <c r="E144" s="1" t="s">
        <v>20</v>
      </c>
      <c r="F144" s="1" t="s">
        <v>33</v>
      </c>
      <c r="G144" s="1" t="s">
        <v>35</v>
      </c>
      <c r="H144" s="1">
        <v>2</v>
      </c>
      <c r="I144" s="1">
        <v>25</v>
      </c>
      <c r="J144" s="1">
        <v>0</v>
      </c>
      <c r="K144" s="22">
        <v>50</v>
      </c>
    </row>
    <row r="145" spans="1:11" x14ac:dyDescent="0.3">
      <c r="A145" s="31">
        <v>45825</v>
      </c>
      <c r="B145" s="1" t="s">
        <v>177</v>
      </c>
      <c r="C145" s="1" t="s">
        <v>24</v>
      </c>
      <c r="D145" s="1" t="s">
        <v>25</v>
      </c>
      <c r="E145" s="1" t="s">
        <v>20</v>
      </c>
      <c r="F145" s="1" t="s">
        <v>30</v>
      </c>
      <c r="G145" s="1" t="s">
        <v>49</v>
      </c>
      <c r="H145" s="1">
        <v>4</v>
      </c>
      <c r="I145" s="1">
        <v>25</v>
      </c>
      <c r="J145" s="1">
        <v>5</v>
      </c>
      <c r="K145" s="22">
        <v>95</v>
      </c>
    </row>
    <row r="146" spans="1:11" x14ac:dyDescent="0.3">
      <c r="A146" s="31">
        <v>45679</v>
      </c>
      <c r="B146" s="1" t="s">
        <v>178</v>
      </c>
      <c r="C146" s="1" t="s">
        <v>18</v>
      </c>
      <c r="D146" s="1" t="s">
        <v>19</v>
      </c>
      <c r="E146" s="1" t="s">
        <v>20</v>
      </c>
      <c r="F146" s="1" t="s">
        <v>30</v>
      </c>
      <c r="G146" s="1" t="s">
        <v>49</v>
      </c>
      <c r="H146" s="1">
        <v>5</v>
      </c>
      <c r="I146" s="1">
        <v>35</v>
      </c>
      <c r="J146" s="1">
        <v>5</v>
      </c>
      <c r="K146" s="22">
        <v>166.25</v>
      </c>
    </row>
    <row r="147" spans="1:11" x14ac:dyDescent="0.3">
      <c r="A147" s="31">
        <v>45797</v>
      </c>
      <c r="B147" s="1" t="s">
        <v>179</v>
      </c>
      <c r="C147" s="1" t="s">
        <v>40</v>
      </c>
      <c r="D147" s="1" t="s">
        <v>41</v>
      </c>
      <c r="E147" s="1" t="s">
        <v>14</v>
      </c>
      <c r="F147" s="1" t="s">
        <v>15</v>
      </c>
      <c r="G147" s="1" t="s">
        <v>22</v>
      </c>
      <c r="H147" s="1">
        <v>9</v>
      </c>
      <c r="I147" s="1">
        <v>120</v>
      </c>
      <c r="J147" s="1">
        <v>10</v>
      </c>
      <c r="K147" s="22">
        <v>972</v>
      </c>
    </row>
    <row r="148" spans="1:11" x14ac:dyDescent="0.3">
      <c r="A148" s="31">
        <v>45685</v>
      </c>
      <c r="B148" s="1" t="s">
        <v>180</v>
      </c>
      <c r="C148" s="1" t="s">
        <v>18</v>
      </c>
      <c r="D148" s="1" t="s">
        <v>19</v>
      </c>
      <c r="E148" s="1" t="s">
        <v>20</v>
      </c>
      <c r="F148" s="1" t="s">
        <v>21</v>
      </c>
      <c r="G148" s="1" t="s">
        <v>49</v>
      </c>
      <c r="H148" s="1">
        <v>4</v>
      </c>
      <c r="I148" s="1">
        <v>35</v>
      </c>
      <c r="J148" s="1">
        <v>0</v>
      </c>
      <c r="K148" s="22">
        <v>140</v>
      </c>
    </row>
    <row r="149" spans="1:11" x14ac:dyDescent="0.3">
      <c r="A149" s="31">
        <v>45694</v>
      </c>
      <c r="B149" s="1" t="s">
        <v>181</v>
      </c>
      <c r="C149" s="1" t="s">
        <v>24</v>
      </c>
      <c r="D149" s="1" t="s">
        <v>25</v>
      </c>
      <c r="E149" s="1" t="s">
        <v>20</v>
      </c>
      <c r="F149" s="1" t="s">
        <v>21</v>
      </c>
      <c r="G149" s="1" t="s">
        <v>22</v>
      </c>
      <c r="H149" s="1">
        <v>7</v>
      </c>
      <c r="I149" s="1">
        <v>25</v>
      </c>
      <c r="J149" s="1">
        <v>10</v>
      </c>
      <c r="K149" s="22">
        <v>157.5</v>
      </c>
    </row>
    <row r="150" spans="1:11" x14ac:dyDescent="0.3">
      <c r="A150" s="31">
        <v>45750</v>
      </c>
      <c r="B150" s="1" t="s">
        <v>182</v>
      </c>
      <c r="C150" s="1" t="s">
        <v>12</v>
      </c>
      <c r="D150" s="1" t="s">
        <v>13</v>
      </c>
      <c r="E150" s="1" t="s">
        <v>14</v>
      </c>
      <c r="F150" s="1" t="s">
        <v>21</v>
      </c>
      <c r="G150" s="1" t="s">
        <v>16</v>
      </c>
      <c r="H150" s="1">
        <v>2</v>
      </c>
      <c r="I150" s="1">
        <v>60</v>
      </c>
      <c r="J150" s="1">
        <v>5</v>
      </c>
      <c r="K150" s="22">
        <v>114</v>
      </c>
    </row>
    <row r="151" spans="1:11" x14ac:dyDescent="0.3">
      <c r="A151" s="32">
        <v>45733</v>
      </c>
      <c r="B151" s="29" t="s">
        <v>183</v>
      </c>
      <c r="C151" s="29" t="s">
        <v>12</v>
      </c>
      <c r="D151" s="29" t="s">
        <v>13</v>
      </c>
      <c r="E151" s="29" t="s">
        <v>14</v>
      </c>
      <c r="F151" s="29" t="s">
        <v>15</v>
      </c>
      <c r="G151" s="29" t="s">
        <v>35</v>
      </c>
      <c r="H151" s="29">
        <v>4</v>
      </c>
      <c r="I151" s="29">
        <v>60</v>
      </c>
      <c r="J151" s="29">
        <v>5</v>
      </c>
      <c r="K151" s="27">
        <v>228</v>
      </c>
    </row>
    <row r="152" spans="1:11" x14ac:dyDescent="0.3">
      <c r="A152" s="32"/>
      <c r="B152" s="29"/>
      <c r="C152" s="29"/>
      <c r="D152" s="29"/>
      <c r="E152" s="29"/>
      <c r="F152" s="29"/>
      <c r="G152" s="29"/>
      <c r="H152" s="29"/>
      <c r="I152" s="29"/>
      <c r="J152" s="29"/>
      <c r="K152" s="27">
        <f>SUM(Table3[Total_Sales])</f>
        <v>37506.25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
  <sheetViews>
    <sheetView workbookViewId="0">
      <selection activeCell="P10" sqref="P10"/>
    </sheetView>
  </sheetViews>
  <sheetFormatPr defaultRowHeight="14.4" x14ac:dyDescent="0.3"/>
  <cols>
    <col min="1" max="1" width="9.5546875" customWidth="1"/>
    <col min="2" max="2" width="12.77734375" customWidth="1"/>
    <col min="3" max="3" width="10.44140625" customWidth="1"/>
    <col min="4" max="4" width="11.6640625" customWidth="1"/>
    <col min="5" max="5" width="9.77734375" customWidth="1"/>
    <col min="6" max="6" width="13.44140625" customWidth="1"/>
    <col min="7" max="7" width="10.109375" bestFit="1" customWidth="1"/>
    <col min="10" max="10" width="12.5546875" bestFit="1" customWidth="1"/>
    <col min="11" max="11" width="12.109375" bestFit="1" customWidth="1"/>
    <col min="15" max="15" width="12.5546875" bestFit="1" customWidth="1"/>
    <col min="16" max="16" width="14.88671875" bestFit="1" customWidth="1"/>
  </cols>
  <sheetData>
    <row r="1" spans="1:16" x14ac:dyDescent="0.3">
      <c r="A1" s="23" t="s">
        <v>2</v>
      </c>
      <c r="B1" s="24" t="s">
        <v>3</v>
      </c>
      <c r="C1" s="24" t="s">
        <v>4</v>
      </c>
      <c r="D1" s="24" t="s">
        <v>184</v>
      </c>
      <c r="E1" s="25" t="s">
        <v>208</v>
      </c>
      <c r="F1" s="24" t="s">
        <v>185</v>
      </c>
      <c r="G1" s="30" t="s">
        <v>209</v>
      </c>
    </row>
    <row r="2" spans="1:16" x14ac:dyDescent="0.3">
      <c r="A2" s="21" t="s">
        <v>18</v>
      </c>
      <c r="B2" s="1" t="s">
        <v>19</v>
      </c>
      <c r="C2" s="1" t="s">
        <v>20</v>
      </c>
      <c r="D2" s="1">
        <v>25</v>
      </c>
      <c r="E2" s="1">
        <v>119</v>
      </c>
      <c r="F2" s="1">
        <v>35</v>
      </c>
      <c r="G2" s="22">
        <f>(Table1[[#This Row],[Selling_Price]]-Table1[[#This Row],[Cost_Price]])*Table1[[#This Row],[Q]]</f>
        <v>1190</v>
      </c>
    </row>
    <row r="3" spans="1:16" x14ac:dyDescent="0.3">
      <c r="A3" s="21" t="s">
        <v>24</v>
      </c>
      <c r="B3" s="1" t="s">
        <v>25</v>
      </c>
      <c r="C3" s="1" t="s">
        <v>20</v>
      </c>
      <c r="D3" s="1">
        <v>15</v>
      </c>
      <c r="E3" s="1">
        <v>151</v>
      </c>
      <c r="F3" s="1">
        <v>25</v>
      </c>
      <c r="G3" s="22">
        <f>(Table1[[#This Row],[Selling_Price]]-Table1[[#This Row],[Cost_Price]])*Table1[[#This Row],[Q]]</f>
        <v>1510</v>
      </c>
    </row>
    <row r="4" spans="1:16" x14ac:dyDescent="0.3">
      <c r="A4" s="21" t="s">
        <v>40</v>
      </c>
      <c r="B4" s="1" t="s">
        <v>41</v>
      </c>
      <c r="C4" s="1" t="s">
        <v>14</v>
      </c>
      <c r="D4" s="1">
        <v>90</v>
      </c>
      <c r="E4" s="1">
        <v>105</v>
      </c>
      <c r="F4" s="1">
        <v>120</v>
      </c>
      <c r="G4" s="22">
        <f>(Table1[[#This Row],[Selling_Price]]-Table1[[#This Row],[Cost_Price]])*Table1[[#This Row],[Q]]</f>
        <v>3150</v>
      </c>
    </row>
    <row r="5" spans="1:16" x14ac:dyDescent="0.3">
      <c r="A5" s="21" t="s">
        <v>12</v>
      </c>
      <c r="B5" s="1" t="s">
        <v>13</v>
      </c>
      <c r="C5" s="1" t="s">
        <v>14</v>
      </c>
      <c r="D5" s="1">
        <v>40</v>
      </c>
      <c r="E5" s="1">
        <v>149</v>
      </c>
      <c r="F5" s="1">
        <v>60</v>
      </c>
      <c r="G5" s="22">
        <f>(Table1[[#This Row],[Selling_Price]]-Table1[[#This Row],[Cost_Price]])*Table1[[#This Row],[Q]]</f>
        <v>2980</v>
      </c>
    </row>
    <row r="6" spans="1:16" x14ac:dyDescent="0.3">
      <c r="A6" s="21" t="s">
        <v>45</v>
      </c>
      <c r="B6" s="1" t="s">
        <v>46</v>
      </c>
      <c r="C6" s="1" t="s">
        <v>29</v>
      </c>
      <c r="D6" s="1">
        <v>10</v>
      </c>
      <c r="E6" s="1">
        <v>115</v>
      </c>
      <c r="F6" s="1">
        <v>20</v>
      </c>
      <c r="G6" s="22">
        <f>(Table1[[#This Row],[Selling_Price]]-Table1[[#This Row],[Cost_Price]])*Table1[[#This Row],[Q]]</f>
        <v>1150</v>
      </c>
    </row>
    <row r="7" spans="1:16" x14ac:dyDescent="0.3">
      <c r="A7" s="28" t="s">
        <v>27</v>
      </c>
      <c r="B7" s="29" t="s">
        <v>28</v>
      </c>
      <c r="C7" s="29" t="s">
        <v>29</v>
      </c>
      <c r="D7" s="29">
        <v>30</v>
      </c>
      <c r="E7" s="29">
        <v>154</v>
      </c>
      <c r="F7" s="29">
        <v>50</v>
      </c>
      <c r="G7" s="27">
        <f>(Table1[[#This Row],[Selling_Price]]-Table1[[#This Row],[Cost_Price]])*Table1[[#This Row],[Q]]</f>
        <v>3080</v>
      </c>
    </row>
    <row r="8" spans="1:16" x14ac:dyDescent="0.3">
      <c r="A8" s="28" t="s">
        <v>210</v>
      </c>
      <c r="B8" s="29">
        <f>SUBTOTAL(103,Table1[Item_Name])</f>
        <v>6</v>
      </c>
      <c r="C8" s="29"/>
      <c r="D8" s="29"/>
      <c r="E8" s="29"/>
      <c r="F8" s="29"/>
      <c r="G8" s="27">
        <f>SUBTOTAL(109,Table1[Profit])</f>
        <v>13060</v>
      </c>
      <c r="J8" s="3" t="s">
        <v>196</v>
      </c>
      <c r="K8" t="s">
        <v>211</v>
      </c>
      <c r="O8" s="3" t="s">
        <v>196</v>
      </c>
      <c r="P8" t="s">
        <v>206</v>
      </c>
    </row>
    <row r="9" spans="1:16" x14ac:dyDescent="0.3">
      <c r="J9" s="4" t="s">
        <v>46</v>
      </c>
      <c r="K9">
        <v>1150</v>
      </c>
      <c r="O9" s="4" t="s">
        <v>18</v>
      </c>
      <c r="P9" s="39">
        <v>119</v>
      </c>
    </row>
    <row r="10" spans="1:16" x14ac:dyDescent="0.3">
      <c r="J10" s="4" t="s">
        <v>25</v>
      </c>
      <c r="K10">
        <v>1510</v>
      </c>
      <c r="O10" s="4" t="s">
        <v>24</v>
      </c>
      <c r="P10" s="39">
        <v>151</v>
      </c>
    </row>
    <row r="11" spans="1:16" x14ac:dyDescent="0.3">
      <c r="J11" s="4" t="s">
        <v>28</v>
      </c>
      <c r="K11">
        <v>3080</v>
      </c>
      <c r="O11" s="4" t="s">
        <v>40</v>
      </c>
      <c r="P11" s="39">
        <v>105</v>
      </c>
    </row>
    <row r="12" spans="1:16" x14ac:dyDescent="0.3">
      <c r="J12" s="4" t="s">
        <v>19</v>
      </c>
      <c r="K12">
        <v>1190</v>
      </c>
      <c r="O12" s="4" t="s">
        <v>12</v>
      </c>
      <c r="P12" s="39">
        <v>149</v>
      </c>
    </row>
    <row r="13" spans="1:16" x14ac:dyDescent="0.3">
      <c r="J13" s="4" t="s">
        <v>41</v>
      </c>
      <c r="K13">
        <v>3150</v>
      </c>
      <c r="O13" s="4" t="s">
        <v>45</v>
      </c>
      <c r="P13" s="39">
        <v>115</v>
      </c>
    </row>
    <row r="14" spans="1:16" x14ac:dyDescent="0.3">
      <c r="J14" s="4" t="s">
        <v>13</v>
      </c>
      <c r="K14">
        <v>2980</v>
      </c>
      <c r="O14" s="4" t="s">
        <v>27</v>
      </c>
      <c r="P14" s="39">
        <v>154</v>
      </c>
    </row>
    <row r="15" spans="1:16" x14ac:dyDescent="0.3">
      <c r="J15" s="4" t="s">
        <v>197</v>
      </c>
      <c r="K15">
        <v>13060</v>
      </c>
      <c r="O15" s="4" t="s">
        <v>197</v>
      </c>
      <c r="P15" s="39">
        <v>793</v>
      </c>
    </row>
  </sheetData>
  <pageMargins left="0.75" right="0.75" top="1" bottom="1" header="0.5" footer="0.5"/>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workbookViewId="0">
      <selection activeCell="G21" sqref="G21"/>
    </sheetView>
  </sheetViews>
  <sheetFormatPr defaultRowHeight="14.4" x14ac:dyDescent="0.3"/>
  <cols>
    <col min="1" max="2" width="6.77734375" bestFit="1" customWidth="1"/>
    <col min="3" max="3" width="11.5546875" bestFit="1" customWidth="1"/>
    <col min="9" max="9" width="12.5546875" bestFit="1" customWidth="1"/>
    <col min="10" max="10" width="15.5546875" bestFit="1" customWidth="1"/>
    <col min="11" max="11" width="17" bestFit="1" customWidth="1"/>
  </cols>
  <sheetData>
    <row r="1" spans="1:5" x14ac:dyDescent="0.3">
      <c r="A1" s="2" t="s">
        <v>5</v>
      </c>
      <c r="B1" s="2" t="s">
        <v>186</v>
      </c>
      <c r="C1" s="2" t="s">
        <v>187</v>
      </c>
      <c r="D1" s="2" t="s">
        <v>194</v>
      </c>
      <c r="E1" s="2" t="s">
        <v>195</v>
      </c>
    </row>
    <row r="2" spans="1:5" x14ac:dyDescent="0.3">
      <c r="A2" s="1" t="s">
        <v>15</v>
      </c>
      <c r="B2" s="1" t="s">
        <v>188</v>
      </c>
      <c r="C2" s="1">
        <v>383421</v>
      </c>
      <c r="D2" s="1">
        <v>1133.25</v>
      </c>
      <c r="E2" s="8">
        <f>D2/C2</f>
        <v>2.9556284084596303E-3</v>
      </c>
    </row>
    <row r="3" spans="1:5" x14ac:dyDescent="0.3">
      <c r="A3" s="1" t="s">
        <v>15</v>
      </c>
      <c r="B3" s="1" t="s">
        <v>189</v>
      </c>
      <c r="C3" s="1">
        <v>301925</v>
      </c>
      <c r="D3" s="1">
        <v>917</v>
      </c>
      <c r="E3" s="8">
        <f t="shared" ref="E3:E25" si="0">D3/C3</f>
        <v>3.0371781071458145E-3</v>
      </c>
    </row>
    <row r="4" spans="1:5" x14ac:dyDescent="0.3">
      <c r="A4" s="1" t="s">
        <v>15</v>
      </c>
      <c r="B4" s="1" t="s">
        <v>190</v>
      </c>
      <c r="C4" s="1">
        <v>285983</v>
      </c>
      <c r="D4" s="1">
        <v>2595.5</v>
      </c>
      <c r="E4" s="8">
        <f t="shared" si="0"/>
        <v>9.075714290709587E-3</v>
      </c>
    </row>
    <row r="5" spans="1:5" x14ac:dyDescent="0.3">
      <c r="A5" s="1" t="s">
        <v>15</v>
      </c>
      <c r="B5" s="1" t="s">
        <v>191</v>
      </c>
      <c r="C5" s="1">
        <v>246417</v>
      </c>
      <c r="D5" s="1">
        <v>1499.5</v>
      </c>
      <c r="E5" s="8">
        <f t="shared" si="0"/>
        <v>6.0852132766813982E-3</v>
      </c>
    </row>
    <row r="6" spans="1:5" x14ac:dyDescent="0.3">
      <c r="A6" s="1" t="s">
        <v>15</v>
      </c>
      <c r="B6" s="1" t="s">
        <v>192</v>
      </c>
      <c r="C6" s="1">
        <v>248030</v>
      </c>
      <c r="D6" s="1">
        <v>2306</v>
      </c>
      <c r="E6" s="8">
        <f t="shared" si="0"/>
        <v>9.2972624279321053E-3</v>
      </c>
    </row>
    <row r="7" spans="1:5" x14ac:dyDescent="0.3">
      <c r="A7" s="1" t="s">
        <v>15</v>
      </c>
      <c r="B7" s="1" t="s">
        <v>193</v>
      </c>
      <c r="C7" s="1">
        <v>343996</v>
      </c>
      <c r="D7" s="1">
        <v>3026</v>
      </c>
      <c r="E7" s="8">
        <f t="shared" si="0"/>
        <v>8.79661391411528E-3</v>
      </c>
    </row>
    <row r="8" spans="1:5" x14ac:dyDescent="0.3">
      <c r="A8" s="1" t="s">
        <v>30</v>
      </c>
      <c r="B8" s="1" t="s">
        <v>188</v>
      </c>
      <c r="C8" s="1">
        <v>305449</v>
      </c>
      <c r="D8" s="1">
        <v>2061.25</v>
      </c>
      <c r="E8" s="8">
        <f t="shared" si="0"/>
        <v>6.748262394049416E-3</v>
      </c>
    </row>
    <row r="9" spans="1:5" x14ac:dyDescent="0.3">
      <c r="A9" s="1" t="s">
        <v>30</v>
      </c>
      <c r="B9" s="1" t="s">
        <v>189</v>
      </c>
      <c r="C9" s="1">
        <v>211438</v>
      </c>
      <c r="D9" s="1">
        <v>390</v>
      </c>
      <c r="E9" s="8">
        <f t="shared" si="0"/>
        <v>1.8445123393145981E-3</v>
      </c>
    </row>
    <row r="10" spans="1:5" x14ac:dyDescent="0.3">
      <c r="A10" s="1" t="s">
        <v>30</v>
      </c>
      <c r="B10" s="1" t="s">
        <v>190</v>
      </c>
      <c r="C10" s="1">
        <v>225555</v>
      </c>
      <c r="D10" s="1">
        <v>2193.5</v>
      </c>
      <c r="E10" s="8">
        <f t="shared" si="0"/>
        <v>9.7249008002482772E-3</v>
      </c>
    </row>
    <row r="11" spans="1:5" x14ac:dyDescent="0.3">
      <c r="A11" s="1" t="s">
        <v>30</v>
      </c>
      <c r="B11" s="1" t="s">
        <v>191</v>
      </c>
      <c r="C11" s="1">
        <v>340978</v>
      </c>
      <c r="D11" s="1">
        <v>1397.25</v>
      </c>
      <c r="E11" s="8">
        <f t="shared" si="0"/>
        <v>4.0977717037462827E-3</v>
      </c>
    </row>
    <row r="12" spans="1:5" x14ac:dyDescent="0.3">
      <c r="A12" s="1" t="s">
        <v>30</v>
      </c>
      <c r="B12" s="1" t="s">
        <v>192</v>
      </c>
      <c r="C12" s="1">
        <v>261551</v>
      </c>
      <c r="D12" s="1">
        <v>1498</v>
      </c>
      <c r="E12" s="8">
        <f t="shared" si="0"/>
        <v>5.7273724818486639E-3</v>
      </c>
    </row>
    <row r="13" spans="1:5" x14ac:dyDescent="0.3">
      <c r="A13" s="1" t="s">
        <v>30</v>
      </c>
      <c r="B13" s="1" t="s">
        <v>193</v>
      </c>
      <c r="C13" s="1">
        <v>281193</v>
      </c>
      <c r="D13" s="1">
        <v>815.5</v>
      </c>
      <c r="E13" s="8">
        <f t="shared" si="0"/>
        <v>2.9001433179346569E-3</v>
      </c>
    </row>
    <row r="14" spans="1:5" x14ac:dyDescent="0.3">
      <c r="A14" s="1" t="s">
        <v>33</v>
      </c>
      <c r="B14" s="1" t="s">
        <v>188</v>
      </c>
      <c r="C14" s="1">
        <v>222130</v>
      </c>
      <c r="D14" s="1">
        <v>175</v>
      </c>
      <c r="E14" s="8">
        <f t="shared" si="0"/>
        <v>7.8782694818349617E-4</v>
      </c>
    </row>
    <row r="15" spans="1:5" x14ac:dyDescent="0.3">
      <c r="A15" s="1" t="s">
        <v>33</v>
      </c>
      <c r="B15" s="1" t="s">
        <v>189</v>
      </c>
      <c r="C15" s="1">
        <v>317018</v>
      </c>
      <c r="D15" s="1">
        <v>756</v>
      </c>
      <c r="E15" s="8">
        <f t="shared" si="0"/>
        <v>2.3847226340460164E-3</v>
      </c>
    </row>
    <row r="16" spans="1:5" x14ac:dyDescent="0.3">
      <c r="A16" s="1" t="s">
        <v>33</v>
      </c>
      <c r="B16" s="1" t="s">
        <v>190</v>
      </c>
      <c r="C16" s="1">
        <v>250999</v>
      </c>
      <c r="D16" s="1">
        <v>767</v>
      </c>
      <c r="E16" s="8">
        <f t="shared" si="0"/>
        <v>3.0557890668887126E-3</v>
      </c>
    </row>
    <row r="17" spans="1:5" x14ac:dyDescent="0.3">
      <c r="A17" s="1" t="s">
        <v>33</v>
      </c>
      <c r="B17" s="1" t="s">
        <v>191</v>
      </c>
      <c r="C17" s="1">
        <v>277442</v>
      </c>
      <c r="D17" s="1">
        <v>2281</v>
      </c>
      <c r="E17" s="8">
        <f t="shared" si="0"/>
        <v>8.2215381953705639E-3</v>
      </c>
    </row>
    <row r="18" spans="1:5" x14ac:dyDescent="0.3">
      <c r="A18" s="1" t="s">
        <v>33</v>
      </c>
      <c r="B18" s="1" t="s">
        <v>192</v>
      </c>
      <c r="C18" s="1">
        <v>207306</v>
      </c>
      <c r="D18" s="1">
        <v>1700.25</v>
      </c>
      <c r="E18" s="8">
        <f t="shared" si="0"/>
        <v>8.20164394662962E-3</v>
      </c>
    </row>
    <row r="19" spans="1:5" x14ac:dyDescent="0.3">
      <c r="A19" s="1" t="s">
        <v>33</v>
      </c>
      <c r="B19" s="1" t="s">
        <v>193</v>
      </c>
      <c r="C19" s="1">
        <v>301554</v>
      </c>
      <c r="D19" s="1">
        <v>2692.25</v>
      </c>
      <c r="E19" s="8">
        <f t="shared" si="0"/>
        <v>8.927920040855037E-3</v>
      </c>
    </row>
    <row r="20" spans="1:5" x14ac:dyDescent="0.3">
      <c r="A20" s="1" t="s">
        <v>21</v>
      </c>
      <c r="B20" s="1" t="s">
        <v>188</v>
      </c>
      <c r="C20" s="1">
        <v>354282</v>
      </c>
      <c r="D20" s="1">
        <v>3076.5</v>
      </c>
      <c r="E20" s="8">
        <f t="shared" si="0"/>
        <v>8.683760394262198E-3</v>
      </c>
    </row>
    <row r="21" spans="1:5" x14ac:dyDescent="0.3">
      <c r="A21" s="1" t="s">
        <v>21</v>
      </c>
      <c r="B21" s="1" t="s">
        <v>189</v>
      </c>
      <c r="C21" s="1">
        <v>336565</v>
      </c>
      <c r="D21" s="1">
        <v>596.5</v>
      </c>
      <c r="E21" s="8">
        <f t="shared" si="0"/>
        <v>1.7723173829720857E-3</v>
      </c>
    </row>
    <row r="22" spans="1:5" x14ac:dyDescent="0.3">
      <c r="A22" s="1" t="s">
        <v>21</v>
      </c>
      <c r="B22" s="1" t="s">
        <v>190</v>
      </c>
      <c r="C22" s="1">
        <v>399591</v>
      </c>
      <c r="D22" s="1">
        <v>2204.5</v>
      </c>
      <c r="E22" s="8">
        <f t="shared" si="0"/>
        <v>5.5168910210690427E-3</v>
      </c>
    </row>
    <row r="23" spans="1:5" x14ac:dyDescent="0.3">
      <c r="A23" s="1" t="s">
        <v>21</v>
      </c>
      <c r="B23" s="1" t="s">
        <v>191</v>
      </c>
      <c r="C23" s="1">
        <v>361141</v>
      </c>
      <c r="D23" s="1">
        <v>494</v>
      </c>
      <c r="E23" s="8">
        <f t="shared" si="0"/>
        <v>1.367886781063352E-3</v>
      </c>
    </row>
    <row r="24" spans="1:5" x14ac:dyDescent="0.3">
      <c r="A24" s="1" t="s">
        <v>21</v>
      </c>
      <c r="B24" s="1" t="s">
        <v>192</v>
      </c>
      <c r="C24" s="1">
        <v>320277</v>
      </c>
      <c r="D24" s="1">
        <v>1518</v>
      </c>
      <c r="E24" s="8">
        <f t="shared" si="0"/>
        <v>4.7396472428554029E-3</v>
      </c>
    </row>
    <row r="25" spans="1:5" x14ac:dyDescent="0.3">
      <c r="A25" s="1" t="s">
        <v>21</v>
      </c>
      <c r="B25" s="1" t="s">
        <v>193</v>
      </c>
      <c r="C25" s="1">
        <v>373104</v>
      </c>
      <c r="D25" s="1">
        <v>1412.5</v>
      </c>
      <c r="E25" s="8">
        <f t="shared" si="0"/>
        <v>3.7858077104507056E-3</v>
      </c>
    </row>
  </sheetData>
  <autoFilter ref="A1:C1" xr:uid="{00000000-0001-0000-0200-000000000000}">
    <sortState xmlns:xlrd2="http://schemas.microsoft.com/office/spreadsheetml/2017/richdata2" ref="A2:C25">
      <sortCondition ref="A1"/>
    </sortState>
  </autoFilter>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47"/>
  <sheetViews>
    <sheetView showGridLines="0" tabSelected="1" zoomScale="73" zoomScaleNormal="73" workbookViewId="0">
      <selection activeCell="AD10" sqref="AD10"/>
    </sheetView>
  </sheetViews>
  <sheetFormatPr defaultRowHeight="14.4" x14ac:dyDescent="0.3"/>
  <cols>
    <col min="1" max="1" width="1.6640625" customWidth="1"/>
    <col min="5" max="5" width="2" customWidth="1"/>
    <col min="21" max="21" width="8.88671875" customWidth="1"/>
    <col min="22" max="22" width="1.77734375" customWidth="1"/>
  </cols>
  <sheetData>
    <row r="1" spans="1:23" ht="7.8" customHeight="1" thickBot="1" x14ac:dyDescent="0.35">
      <c r="A1" s="11"/>
      <c r="B1" s="12"/>
      <c r="C1" s="12"/>
      <c r="D1" s="12"/>
      <c r="E1" s="12"/>
      <c r="F1" s="12"/>
      <c r="G1" s="12"/>
      <c r="H1" s="12"/>
      <c r="I1" s="12"/>
      <c r="J1" s="12"/>
      <c r="K1" s="12"/>
      <c r="L1" s="12"/>
      <c r="M1" s="12"/>
      <c r="N1" s="12"/>
      <c r="O1" s="12"/>
      <c r="P1" s="12"/>
      <c r="Q1" s="12"/>
      <c r="R1" s="12"/>
      <c r="S1" s="12"/>
      <c r="T1" s="12"/>
      <c r="U1" s="12"/>
      <c r="V1" s="12"/>
      <c r="W1" s="12"/>
    </row>
    <row r="2" spans="1:23" ht="14.4" customHeight="1" x14ac:dyDescent="0.3">
      <c r="A2" s="12"/>
      <c r="B2" s="33" t="s">
        <v>207</v>
      </c>
      <c r="C2" s="34"/>
      <c r="D2" s="34"/>
      <c r="E2" s="34"/>
      <c r="F2" s="34"/>
      <c r="G2" s="34"/>
      <c r="H2" s="34"/>
      <c r="I2" s="34"/>
      <c r="J2" s="34"/>
      <c r="K2" s="34"/>
      <c r="L2" s="34"/>
      <c r="M2" s="34"/>
      <c r="N2" s="34"/>
      <c r="O2" s="34"/>
      <c r="P2" s="34"/>
      <c r="Q2" s="34"/>
      <c r="R2" s="34"/>
      <c r="S2" s="34"/>
      <c r="T2" s="34"/>
      <c r="U2" s="34"/>
      <c r="V2" s="35"/>
      <c r="W2" s="12"/>
    </row>
    <row r="3" spans="1:23" ht="13.8" customHeight="1" thickBot="1" x14ac:dyDescent="0.35">
      <c r="A3" s="12"/>
      <c r="B3" s="36"/>
      <c r="C3" s="37"/>
      <c r="D3" s="37"/>
      <c r="E3" s="37"/>
      <c r="F3" s="37"/>
      <c r="G3" s="37"/>
      <c r="H3" s="37"/>
      <c r="I3" s="37"/>
      <c r="J3" s="37"/>
      <c r="K3" s="37"/>
      <c r="L3" s="37"/>
      <c r="M3" s="37"/>
      <c r="N3" s="37"/>
      <c r="O3" s="37"/>
      <c r="P3" s="37"/>
      <c r="Q3" s="37"/>
      <c r="R3" s="37"/>
      <c r="S3" s="37"/>
      <c r="T3" s="37"/>
      <c r="U3" s="37"/>
      <c r="V3" s="38"/>
      <c r="W3" s="12"/>
    </row>
    <row r="4" spans="1:23" ht="7.2" customHeight="1" thickBot="1" x14ac:dyDescent="0.35">
      <c r="A4" s="12"/>
      <c r="B4" s="12"/>
      <c r="C4" s="12"/>
      <c r="D4" s="12"/>
      <c r="E4" s="12"/>
      <c r="F4" s="12"/>
      <c r="G4" s="12"/>
      <c r="H4" s="12"/>
      <c r="I4" s="12"/>
      <c r="J4" s="12"/>
      <c r="K4" s="12"/>
      <c r="L4" s="12"/>
      <c r="M4" s="12"/>
      <c r="N4" s="12"/>
      <c r="O4" s="12"/>
      <c r="P4" s="12"/>
      <c r="Q4" s="12"/>
      <c r="R4" s="12"/>
      <c r="S4" s="12"/>
      <c r="T4" s="12"/>
      <c r="U4" s="12"/>
      <c r="V4" s="12"/>
      <c r="W4" s="12"/>
    </row>
    <row r="5" spans="1:23" ht="7.2" customHeight="1" thickBot="1" x14ac:dyDescent="0.35">
      <c r="A5" s="13"/>
      <c r="B5" s="14"/>
      <c r="C5" s="14"/>
      <c r="D5" s="14"/>
      <c r="E5" s="14"/>
      <c r="F5" s="14"/>
      <c r="G5" s="14"/>
      <c r="H5" s="14"/>
      <c r="I5" s="14"/>
      <c r="J5" s="14"/>
      <c r="K5" s="14"/>
      <c r="L5" s="14"/>
      <c r="M5" s="14"/>
      <c r="N5" s="14"/>
      <c r="O5" s="14"/>
      <c r="P5" s="14"/>
      <c r="Q5" s="14"/>
      <c r="R5" s="14"/>
      <c r="S5" s="14"/>
      <c r="T5" s="14"/>
      <c r="U5" s="14"/>
      <c r="V5" s="15"/>
      <c r="W5" s="12"/>
    </row>
    <row r="6" spans="1:23" x14ac:dyDescent="0.3">
      <c r="A6" s="16"/>
      <c r="B6" s="13"/>
      <c r="C6" s="14"/>
      <c r="D6" s="15"/>
      <c r="E6" s="12"/>
      <c r="F6" s="13"/>
      <c r="G6" s="14"/>
      <c r="H6" s="14"/>
      <c r="I6" s="14"/>
      <c r="J6" s="14"/>
      <c r="K6" s="14"/>
      <c r="L6" s="14"/>
      <c r="M6" s="14"/>
      <c r="N6" s="14"/>
      <c r="O6" s="14"/>
      <c r="P6" s="14"/>
      <c r="Q6" s="14"/>
      <c r="R6" s="14"/>
      <c r="S6" s="14"/>
      <c r="T6" s="14"/>
      <c r="U6" s="15"/>
      <c r="V6" s="17"/>
      <c r="W6" s="12"/>
    </row>
    <row r="7" spans="1:23" x14ac:dyDescent="0.3">
      <c r="A7" s="16"/>
      <c r="B7" s="16"/>
      <c r="C7" s="12"/>
      <c r="D7" s="17"/>
      <c r="E7" s="12"/>
      <c r="F7" s="16"/>
      <c r="G7" s="12"/>
      <c r="H7" s="12"/>
      <c r="I7" s="12"/>
      <c r="J7" s="12"/>
      <c r="K7" s="12"/>
      <c r="L7" s="12"/>
      <c r="M7" s="12"/>
      <c r="N7" s="12"/>
      <c r="O7" s="12"/>
      <c r="P7" s="12"/>
      <c r="Q7" s="12"/>
      <c r="R7" s="12"/>
      <c r="S7" s="12"/>
      <c r="T7" s="12"/>
      <c r="U7" s="17"/>
      <c r="V7" s="17"/>
      <c r="W7" s="12"/>
    </row>
    <row r="8" spans="1:23" x14ac:dyDescent="0.3">
      <c r="A8" s="16"/>
      <c r="B8" s="16"/>
      <c r="C8" s="12"/>
      <c r="D8" s="17"/>
      <c r="E8" s="12"/>
      <c r="F8" s="16"/>
      <c r="G8" s="12"/>
      <c r="H8" s="12"/>
      <c r="I8" s="12"/>
      <c r="J8" s="12"/>
      <c r="K8" s="12"/>
      <c r="L8" s="12"/>
      <c r="M8" s="12"/>
      <c r="N8" s="12"/>
      <c r="O8" s="12"/>
      <c r="P8" s="12"/>
      <c r="Q8" s="12"/>
      <c r="R8" s="12"/>
      <c r="S8" s="12"/>
      <c r="T8" s="12"/>
      <c r="U8" s="17"/>
      <c r="V8" s="17"/>
      <c r="W8" s="12"/>
    </row>
    <row r="9" spans="1:23" x14ac:dyDescent="0.3">
      <c r="A9" s="16"/>
      <c r="B9" s="16"/>
      <c r="C9" s="12"/>
      <c r="D9" s="17"/>
      <c r="E9" s="12"/>
      <c r="F9" s="16"/>
      <c r="G9" s="12"/>
      <c r="H9" s="12"/>
      <c r="I9" s="12"/>
      <c r="J9" s="12"/>
      <c r="K9" s="12"/>
      <c r="L9" s="12"/>
      <c r="M9" s="12"/>
      <c r="N9" s="12"/>
      <c r="O9" s="12"/>
      <c r="P9" s="12"/>
      <c r="Q9" s="12"/>
      <c r="R9" s="12"/>
      <c r="S9" s="12"/>
      <c r="T9" s="12"/>
      <c r="U9" s="17"/>
      <c r="V9" s="17"/>
      <c r="W9" s="12"/>
    </row>
    <row r="10" spans="1:23" x14ac:dyDescent="0.3">
      <c r="A10" s="16"/>
      <c r="B10" s="16"/>
      <c r="C10" s="12"/>
      <c r="D10" s="17"/>
      <c r="E10" s="12"/>
      <c r="F10" s="16"/>
      <c r="G10" s="12"/>
      <c r="H10" s="12"/>
      <c r="I10" s="12"/>
      <c r="J10" s="12"/>
      <c r="K10" s="12"/>
      <c r="L10" s="12"/>
      <c r="M10" s="12"/>
      <c r="N10" s="12"/>
      <c r="O10" s="12"/>
      <c r="P10" s="12"/>
      <c r="Q10" s="12"/>
      <c r="R10" s="12"/>
      <c r="S10" s="12"/>
      <c r="T10" s="12"/>
      <c r="U10" s="17"/>
      <c r="V10" s="17"/>
      <c r="W10" s="12"/>
    </row>
    <row r="11" spans="1:23" x14ac:dyDescent="0.3">
      <c r="A11" s="16"/>
      <c r="B11" s="16"/>
      <c r="C11" s="12"/>
      <c r="D11" s="17"/>
      <c r="E11" s="12"/>
      <c r="F11" s="16"/>
      <c r="G11" s="12"/>
      <c r="H11" s="12"/>
      <c r="I11" s="12"/>
      <c r="J11" s="12"/>
      <c r="K11" s="12"/>
      <c r="L11" s="12"/>
      <c r="M11" s="12"/>
      <c r="N11" s="12"/>
      <c r="O11" s="12"/>
      <c r="P11" s="12"/>
      <c r="Q11" s="12"/>
      <c r="R11" s="12"/>
      <c r="S11" s="12"/>
      <c r="T11" s="12"/>
      <c r="U11" s="17"/>
      <c r="V11" s="17"/>
      <c r="W11" s="12"/>
    </row>
    <row r="12" spans="1:23" x14ac:dyDescent="0.3">
      <c r="A12" s="16"/>
      <c r="B12" s="16"/>
      <c r="C12" s="12"/>
      <c r="D12" s="17"/>
      <c r="E12" s="12"/>
      <c r="F12" s="16"/>
      <c r="G12" s="12"/>
      <c r="H12" s="12"/>
      <c r="I12" s="12"/>
      <c r="J12" s="12"/>
      <c r="K12" s="12"/>
      <c r="L12" s="12"/>
      <c r="M12" s="12"/>
      <c r="N12" s="12"/>
      <c r="O12" s="12"/>
      <c r="P12" s="12"/>
      <c r="Q12" s="12"/>
      <c r="R12" s="12"/>
      <c r="S12" s="12"/>
      <c r="T12" s="12"/>
      <c r="U12" s="17"/>
      <c r="V12" s="17"/>
      <c r="W12" s="12"/>
    </row>
    <row r="13" spans="1:23" x14ac:dyDescent="0.3">
      <c r="A13" s="16"/>
      <c r="B13" s="16"/>
      <c r="C13" s="12"/>
      <c r="D13" s="17"/>
      <c r="E13" s="12"/>
      <c r="F13" s="16"/>
      <c r="G13" s="12"/>
      <c r="H13" s="12"/>
      <c r="I13" s="12"/>
      <c r="J13" s="12"/>
      <c r="K13" s="12"/>
      <c r="L13" s="12"/>
      <c r="M13" s="12"/>
      <c r="N13" s="12"/>
      <c r="O13" s="12"/>
      <c r="P13" s="12"/>
      <c r="Q13" s="12"/>
      <c r="R13" s="12"/>
      <c r="S13" s="12"/>
      <c r="T13" s="12"/>
      <c r="U13" s="17"/>
      <c r="V13" s="17"/>
      <c r="W13" s="12"/>
    </row>
    <row r="14" spans="1:23" x14ac:dyDescent="0.3">
      <c r="A14" s="16"/>
      <c r="B14" s="16"/>
      <c r="C14" s="12"/>
      <c r="D14" s="17"/>
      <c r="E14" s="12"/>
      <c r="F14" s="16"/>
      <c r="G14" s="12"/>
      <c r="H14" s="12"/>
      <c r="I14" s="12"/>
      <c r="J14" s="12"/>
      <c r="K14" s="12"/>
      <c r="L14" s="12"/>
      <c r="M14" s="12"/>
      <c r="N14" s="12"/>
      <c r="O14" s="12"/>
      <c r="P14" s="12"/>
      <c r="Q14" s="12"/>
      <c r="R14" s="12"/>
      <c r="S14" s="12"/>
      <c r="T14" s="12"/>
      <c r="U14" s="17"/>
      <c r="V14" s="17"/>
      <c r="W14" s="12"/>
    </row>
    <row r="15" spans="1:23" x14ac:dyDescent="0.3">
      <c r="A15" s="16"/>
      <c r="B15" s="16"/>
      <c r="C15" s="12"/>
      <c r="D15" s="17"/>
      <c r="E15" s="12"/>
      <c r="F15" s="16"/>
      <c r="G15" s="12"/>
      <c r="H15" s="12"/>
      <c r="I15" s="12"/>
      <c r="J15" s="12"/>
      <c r="K15" s="12"/>
      <c r="L15" s="12"/>
      <c r="M15" s="12"/>
      <c r="N15" s="12"/>
      <c r="O15" s="12"/>
      <c r="P15" s="12"/>
      <c r="Q15" s="12"/>
      <c r="R15" s="12"/>
      <c r="S15" s="12"/>
      <c r="T15" s="12"/>
      <c r="U15" s="17"/>
      <c r="V15" s="17"/>
      <c r="W15" s="12"/>
    </row>
    <row r="16" spans="1:23" x14ac:dyDescent="0.3">
      <c r="A16" s="16"/>
      <c r="B16" s="16"/>
      <c r="C16" s="12"/>
      <c r="D16" s="17"/>
      <c r="E16" s="12"/>
      <c r="F16" s="16"/>
      <c r="G16" s="12"/>
      <c r="H16" s="12"/>
      <c r="I16" s="12"/>
      <c r="J16" s="12"/>
      <c r="K16" s="12"/>
      <c r="L16" s="12"/>
      <c r="M16" s="12"/>
      <c r="N16" s="12"/>
      <c r="O16" s="12"/>
      <c r="P16" s="12"/>
      <c r="Q16" s="12"/>
      <c r="R16" s="12"/>
      <c r="S16" s="12"/>
      <c r="T16" s="12"/>
      <c r="U16" s="17"/>
      <c r="V16" s="17"/>
      <c r="W16" s="12"/>
    </row>
    <row r="17" spans="1:23" x14ac:dyDescent="0.3">
      <c r="A17" s="16"/>
      <c r="B17" s="16"/>
      <c r="C17" s="12"/>
      <c r="D17" s="17"/>
      <c r="E17" s="12"/>
      <c r="F17" s="16"/>
      <c r="G17" s="12"/>
      <c r="H17" s="12"/>
      <c r="I17" s="12"/>
      <c r="J17" s="12"/>
      <c r="K17" s="12"/>
      <c r="L17" s="12"/>
      <c r="M17" s="12"/>
      <c r="N17" s="12"/>
      <c r="O17" s="12"/>
      <c r="P17" s="12"/>
      <c r="Q17" s="12"/>
      <c r="R17" s="12"/>
      <c r="S17" s="12"/>
      <c r="T17" s="12"/>
      <c r="U17" s="17"/>
      <c r="V17" s="17"/>
      <c r="W17" s="12"/>
    </row>
    <row r="18" spans="1:23" x14ac:dyDescent="0.3">
      <c r="A18" s="16"/>
      <c r="B18" s="16"/>
      <c r="C18" s="12"/>
      <c r="D18" s="17"/>
      <c r="E18" s="12"/>
      <c r="F18" s="16"/>
      <c r="G18" s="12"/>
      <c r="H18" s="12"/>
      <c r="I18" s="12"/>
      <c r="J18" s="12"/>
      <c r="K18" s="12"/>
      <c r="L18" s="12"/>
      <c r="M18" s="12"/>
      <c r="N18" s="12"/>
      <c r="O18" s="12"/>
      <c r="P18" s="12"/>
      <c r="Q18" s="12"/>
      <c r="R18" s="12"/>
      <c r="S18" s="12"/>
      <c r="T18" s="12"/>
      <c r="U18" s="17"/>
      <c r="V18" s="17"/>
      <c r="W18" s="12"/>
    </row>
    <row r="19" spans="1:23" x14ac:dyDescent="0.3">
      <c r="A19" s="16"/>
      <c r="B19" s="16"/>
      <c r="C19" s="12"/>
      <c r="D19" s="17"/>
      <c r="E19" s="12"/>
      <c r="F19" s="16"/>
      <c r="G19" s="12"/>
      <c r="H19" s="12"/>
      <c r="I19" s="12"/>
      <c r="J19" s="12"/>
      <c r="K19" s="12"/>
      <c r="L19" s="12"/>
      <c r="M19" s="12"/>
      <c r="N19" s="12"/>
      <c r="O19" s="12"/>
      <c r="P19" s="12"/>
      <c r="Q19" s="12"/>
      <c r="R19" s="12"/>
      <c r="S19" s="12"/>
      <c r="T19" s="12"/>
      <c r="U19" s="17"/>
      <c r="V19" s="17"/>
      <c r="W19" s="12"/>
    </row>
    <row r="20" spans="1:23" x14ac:dyDescent="0.3">
      <c r="A20" s="16"/>
      <c r="B20" s="16"/>
      <c r="C20" s="12"/>
      <c r="D20" s="17"/>
      <c r="E20" s="12"/>
      <c r="F20" s="16"/>
      <c r="G20" s="12"/>
      <c r="H20" s="12"/>
      <c r="I20" s="12"/>
      <c r="J20" s="12"/>
      <c r="K20" s="12"/>
      <c r="L20" s="12"/>
      <c r="M20" s="12"/>
      <c r="N20" s="12"/>
      <c r="O20" s="12"/>
      <c r="P20" s="12"/>
      <c r="Q20" s="12"/>
      <c r="R20" s="12"/>
      <c r="S20" s="12"/>
      <c r="T20" s="12"/>
      <c r="U20" s="17"/>
      <c r="V20" s="17"/>
      <c r="W20" s="12"/>
    </row>
    <row r="21" spans="1:23" x14ac:dyDescent="0.3">
      <c r="A21" s="16"/>
      <c r="B21" s="16"/>
      <c r="C21" s="12"/>
      <c r="D21" s="17"/>
      <c r="E21" s="12"/>
      <c r="F21" s="16"/>
      <c r="G21" s="12"/>
      <c r="H21" s="12"/>
      <c r="I21" s="12"/>
      <c r="J21" s="12"/>
      <c r="K21" s="12"/>
      <c r="L21" s="12"/>
      <c r="M21" s="12"/>
      <c r="N21" s="12"/>
      <c r="O21" s="12"/>
      <c r="P21" s="12"/>
      <c r="Q21" s="12"/>
      <c r="R21" s="12"/>
      <c r="S21" s="12"/>
      <c r="T21" s="12"/>
      <c r="U21" s="17"/>
      <c r="V21" s="17"/>
      <c r="W21" s="12"/>
    </row>
    <row r="22" spans="1:23" x14ac:dyDescent="0.3">
      <c r="A22" s="16"/>
      <c r="B22" s="16"/>
      <c r="C22" s="12"/>
      <c r="D22" s="17"/>
      <c r="E22" s="12"/>
      <c r="F22" s="16"/>
      <c r="G22" s="12"/>
      <c r="H22" s="12"/>
      <c r="I22" s="12"/>
      <c r="J22" s="12"/>
      <c r="K22" s="12"/>
      <c r="L22" s="12"/>
      <c r="M22" s="12"/>
      <c r="N22" s="12"/>
      <c r="O22" s="12"/>
      <c r="P22" s="12"/>
      <c r="Q22" s="12"/>
      <c r="R22" s="12"/>
      <c r="S22" s="12"/>
      <c r="T22" s="12"/>
      <c r="U22" s="17"/>
      <c r="V22" s="17"/>
      <c r="W22" s="12"/>
    </row>
    <row r="23" spans="1:23" x14ac:dyDescent="0.3">
      <c r="A23" s="16"/>
      <c r="B23" s="16"/>
      <c r="C23" s="12"/>
      <c r="D23" s="17"/>
      <c r="E23" s="12"/>
      <c r="F23" s="16"/>
      <c r="G23" s="12"/>
      <c r="H23" s="12"/>
      <c r="I23" s="12"/>
      <c r="J23" s="12"/>
      <c r="K23" s="12"/>
      <c r="L23" s="12"/>
      <c r="M23" s="12"/>
      <c r="N23" s="12"/>
      <c r="O23" s="12"/>
      <c r="P23" s="12"/>
      <c r="Q23" s="12"/>
      <c r="R23" s="12"/>
      <c r="S23" s="12"/>
      <c r="T23" s="12"/>
      <c r="U23" s="17"/>
      <c r="V23" s="17"/>
      <c r="W23" s="12"/>
    </row>
    <row r="24" spans="1:23" x14ac:dyDescent="0.3">
      <c r="A24" s="16"/>
      <c r="B24" s="16"/>
      <c r="C24" s="12"/>
      <c r="D24" s="17"/>
      <c r="E24" s="12"/>
      <c r="F24" s="16"/>
      <c r="G24" s="12"/>
      <c r="H24" s="12"/>
      <c r="I24" s="12"/>
      <c r="J24" s="12"/>
      <c r="K24" s="12"/>
      <c r="L24" s="12"/>
      <c r="M24" s="12"/>
      <c r="N24" s="12"/>
      <c r="O24" s="12"/>
      <c r="P24" s="12"/>
      <c r="Q24" s="12"/>
      <c r="R24" s="12"/>
      <c r="S24" s="12"/>
      <c r="T24" s="12"/>
      <c r="U24" s="17"/>
      <c r="V24" s="17"/>
      <c r="W24" s="12"/>
    </row>
    <row r="25" spans="1:23" x14ac:dyDescent="0.3">
      <c r="A25" s="16"/>
      <c r="B25" s="16"/>
      <c r="C25" s="12"/>
      <c r="D25" s="17"/>
      <c r="E25" s="12"/>
      <c r="F25" s="16"/>
      <c r="G25" s="12"/>
      <c r="H25" s="12"/>
      <c r="I25" s="12"/>
      <c r="J25" s="12"/>
      <c r="K25" s="12"/>
      <c r="L25" s="12"/>
      <c r="M25" s="12"/>
      <c r="N25" s="12"/>
      <c r="O25" s="12"/>
      <c r="P25" s="12"/>
      <c r="Q25" s="12"/>
      <c r="R25" s="12"/>
      <c r="S25" s="12"/>
      <c r="T25" s="12"/>
      <c r="U25" s="17"/>
      <c r="V25" s="17"/>
      <c r="W25" s="12"/>
    </row>
    <row r="26" spans="1:23" x14ac:dyDescent="0.3">
      <c r="A26" s="16"/>
      <c r="B26" s="16"/>
      <c r="C26" s="12"/>
      <c r="D26" s="17"/>
      <c r="E26" s="12"/>
      <c r="F26" s="16"/>
      <c r="G26" s="12"/>
      <c r="H26" s="12"/>
      <c r="I26" s="12"/>
      <c r="J26" s="12"/>
      <c r="K26" s="12"/>
      <c r="L26" s="12"/>
      <c r="M26" s="12"/>
      <c r="N26" s="12"/>
      <c r="O26" s="12"/>
      <c r="P26" s="12"/>
      <c r="Q26" s="12"/>
      <c r="R26" s="12"/>
      <c r="S26" s="12"/>
      <c r="T26" s="12"/>
      <c r="U26" s="17"/>
      <c r="V26" s="17"/>
      <c r="W26" s="12"/>
    </row>
    <row r="27" spans="1:23" x14ac:dyDescent="0.3">
      <c r="A27" s="16"/>
      <c r="B27" s="16"/>
      <c r="C27" s="12"/>
      <c r="D27" s="17"/>
      <c r="E27" s="12"/>
      <c r="F27" s="16"/>
      <c r="G27" s="12"/>
      <c r="H27" s="12"/>
      <c r="I27" s="12"/>
      <c r="J27" s="12"/>
      <c r="K27" s="12"/>
      <c r="L27" s="12"/>
      <c r="M27" s="12"/>
      <c r="N27" s="12"/>
      <c r="O27" s="12"/>
      <c r="P27" s="12"/>
      <c r="Q27" s="12"/>
      <c r="R27" s="12"/>
      <c r="S27" s="12"/>
      <c r="T27" s="12"/>
      <c r="U27" s="17"/>
      <c r="V27" s="17"/>
      <c r="W27" s="12"/>
    </row>
    <row r="28" spans="1:23" x14ac:dyDescent="0.3">
      <c r="A28" s="16"/>
      <c r="B28" s="16"/>
      <c r="C28" s="12"/>
      <c r="D28" s="17"/>
      <c r="E28" s="12"/>
      <c r="F28" s="16"/>
      <c r="G28" s="12"/>
      <c r="H28" s="12"/>
      <c r="I28" s="12"/>
      <c r="J28" s="12"/>
      <c r="K28" s="12"/>
      <c r="L28" s="12"/>
      <c r="M28" s="12"/>
      <c r="N28" s="12"/>
      <c r="O28" s="12"/>
      <c r="P28" s="12"/>
      <c r="Q28" s="12"/>
      <c r="R28" s="12"/>
      <c r="S28" s="12"/>
      <c r="T28" s="12"/>
      <c r="U28" s="17"/>
      <c r="V28" s="17"/>
      <c r="W28" s="12"/>
    </row>
    <row r="29" spans="1:23" x14ac:dyDescent="0.3">
      <c r="A29" s="16"/>
      <c r="B29" s="16"/>
      <c r="C29" s="12"/>
      <c r="D29" s="17"/>
      <c r="E29" s="12"/>
      <c r="F29" s="16"/>
      <c r="G29" s="12"/>
      <c r="H29" s="12"/>
      <c r="I29" s="12"/>
      <c r="J29" s="12"/>
      <c r="K29" s="12"/>
      <c r="L29" s="12"/>
      <c r="M29" s="12"/>
      <c r="N29" s="12"/>
      <c r="O29" s="12"/>
      <c r="P29" s="12"/>
      <c r="Q29" s="12"/>
      <c r="R29" s="12"/>
      <c r="S29" s="12"/>
      <c r="T29" s="12"/>
      <c r="U29" s="17"/>
      <c r="V29" s="17"/>
      <c r="W29" s="12"/>
    </row>
    <row r="30" spans="1:23" x14ac:dyDescent="0.3">
      <c r="A30" s="16"/>
      <c r="B30" s="16"/>
      <c r="C30" s="12"/>
      <c r="D30" s="17"/>
      <c r="E30" s="12"/>
      <c r="F30" s="16"/>
      <c r="G30" s="12"/>
      <c r="H30" s="12"/>
      <c r="I30" s="12"/>
      <c r="J30" s="12"/>
      <c r="K30" s="12"/>
      <c r="L30" s="12"/>
      <c r="M30" s="12"/>
      <c r="N30" s="12"/>
      <c r="O30" s="12"/>
      <c r="P30" s="12"/>
      <c r="Q30" s="12"/>
      <c r="R30" s="12"/>
      <c r="S30" s="12"/>
      <c r="T30" s="12"/>
      <c r="U30" s="17"/>
      <c r="V30" s="17"/>
      <c r="W30" s="12"/>
    </row>
    <row r="31" spans="1:23" x14ac:dyDescent="0.3">
      <c r="A31" s="16"/>
      <c r="B31" s="16"/>
      <c r="C31" s="12"/>
      <c r="D31" s="17"/>
      <c r="E31" s="12"/>
      <c r="F31" s="16"/>
      <c r="G31" s="12"/>
      <c r="H31" s="12"/>
      <c r="I31" s="12"/>
      <c r="J31" s="12"/>
      <c r="K31" s="12"/>
      <c r="L31" s="12"/>
      <c r="M31" s="12"/>
      <c r="N31" s="12"/>
      <c r="O31" s="12"/>
      <c r="P31" s="12"/>
      <c r="Q31" s="12"/>
      <c r="R31" s="12"/>
      <c r="S31" s="12"/>
      <c r="T31" s="12"/>
      <c r="U31" s="17"/>
      <c r="V31" s="17"/>
      <c r="W31" s="12"/>
    </row>
    <row r="32" spans="1:23" x14ac:dyDescent="0.3">
      <c r="A32" s="16"/>
      <c r="B32" s="16"/>
      <c r="C32" s="12"/>
      <c r="D32" s="17"/>
      <c r="E32" s="12"/>
      <c r="F32" s="16"/>
      <c r="G32" s="12"/>
      <c r="H32" s="12"/>
      <c r="I32" s="12"/>
      <c r="J32" s="12"/>
      <c r="K32" s="12"/>
      <c r="L32" s="12"/>
      <c r="M32" s="12"/>
      <c r="N32" s="12"/>
      <c r="O32" s="12"/>
      <c r="P32" s="12"/>
      <c r="Q32" s="12"/>
      <c r="R32" s="12"/>
      <c r="S32" s="12"/>
      <c r="T32" s="12"/>
      <c r="U32" s="17"/>
      <c r="V32" s="17"/>
      <c r="W32" s="12"/>
    </row>
    <row r="33" spans="1:23" x14ac:dyDescent="0.3">
      <c r="A33" s="16"/>
      <c r="B33" s="16"/>
      <c r="C33" s="12"/>
      <c r="D33" s="17"/>
      <c r="E33" s="12"/>
      <c r="F33" s="16"/>
      <c r="G33" s="12"/>
      <c r="H33" s="12"/>
      <c r="I33" s="12"/>
      <c r="J33" s="12"/>
      <c r="K33" s="12"/>
      <c r="L33" s="12"/>
      <c r="M33" s="12"/>
      <c r="N33" s="12"/>
      <c r="O33" s="12"/>
      <c r="P33" s="12"/>
      <c r="Q33" s="12"/>
      <c r="R33" s="12"/>
      <c r="S33" s="12"/>
      <c r="T33" s="12"/>
      <c r="U33" s="17"/>
      <c r="V33" s="17"/>
      <c r="W33" s="12"/>
    </row>
    <row r="34" spans="1:23" ht="15" thickBot="1" x14ac:dyDescent="0.35">
      <c r="A34" s="16"/>
      <c r="B34" s="18"/>
      <c r="C34" s="19"/>
      <c r="D34" s="20"/>
      <c r="E34" s="12"/>
      <c r="F34" s="16"/>
      <c r="G34" s="12"/>
      <c r="H34" s="12"/>
      <c r="I34" s="12"/>
      <c r="J34" s="12"/>
      <c r="K34" s="12"/>
      <c r="L34" s="12"/>
      <c r="M34" s="12"/>
      <c r="N34" s="12"/>
      <c r="O34" s="12"/>
      <c r="P34" s="12"/>
      <c r="Q34" s="12"/>
      <c r="R34" s="12"/>
      <c r="S34" s="12"/>
      <c r="T34" s="12"/>
      <c r="U34" s="17"/>
      <c r="V34" s="17"/>
      <c r="W34" s="12"/>
    </row>
    <row r="35" spans="1:23" x14ac:dyDescent="0.3">
      <c r="A35" s="16"/>
      <c r="B35" s="16"/>
      <c r="C35" s="12"/>
      <c r="D35" s="17"/>
      <c r="E35" s="12"/>
      <c r="F35" s="16"/>
      <c r="G35" s="12"/>
      <c r="H35" s="12"/>
      <c r="I35" s="12"/>
      <c r="J35" s="12"/>
      <c r="K35" s="12"/>
      <c r="L35" s="12"/>
      <c r="M35" s="12"/>
      <c r="N35" s="12"/>
      <c r="O35" s="12"/>
      <c r="P35" s="12"/>
      <c r="Q35" s="12"/>
      <c r="R35" s="12"/>
      <c r="S35" s="12"/>
      <c r="T35" s="12"/>
      <c r="U35" s="17"/>
      <c r="V35" s="17"/>
      <c r="W35" s="12"/>
    </row>
    <row r="36" spans="1:23" x14ac:dyDescent="0.3">
      <c r="A36" s="16"/>
      <c r="B36" s="16"/>
      <c r="C36" s="12"/>
      <c r="D36" s="17"/>
      <c r="E36" s="12"/>
      <c r="F36" s="16"/>
      <c r="G36" s="12"/>
      <c r="H36" s="12"/>
      <c r="I36" s="12"/>
      <c r="J36" s="12"/>
      <c r="K36" s="12"/>
      <c r="L36" s="12"/>
      <c r="M36" s="12"/>
      <c r="N36" s="12"/>
      <c r="O36" s="12"/>
      <c r="P36" s="12"/>
      <c r="Q36" s="12"/>
      <c r="R36" s="12"/>
      <c r="S36" s="12"/>
      <c r="T36" s="12"/>
      <c r="U36" s="17"/>
      <c r="V36" s="17"/>
      <c r="W36" s="12"/>
    </row>
    <row r="37" spans="1:23" x14ac:dyDescent="0.3">
      <c r="A37" s="16"/>
      <c r="B37" s="16"/>
      <c r="C37" s="12"/>
      <c r="D37" s="17"/>
      <c r="E37" s="12"/>
      <c r="F37" s="16"/>
      <c r="G37" s="12"/>
      <c r="H37" s="12"/>
      <c r="I37" s="12"/>
      <c r="J37" s="12"/>
      <c r="K37" s="12"/>
      <c r="L37" s="12"/>
      <c r="M37" s="12"/>
      <c r="N37" s="12"/>
      <c r="O37" s="12"/>
      <c r="P37" s="12"/>
      <c r="Q37" s="12"/>
      <c r="R37" s="12"/>
      <c r="S37" s="12"/>
      <c r="T37" s="12"/>
      <c r="U37" s="17"/>
      <c r="V37" s="17"/>
      <c r="W37" s="12"/>
    </row>
    <row r="38" spans="1:23" x14ac:dyDescent="0.3">
      <c r="A38" s="16"/>
      <c r="B38" s="16"/>
      <c r="C38" s="12"/>
      <c r="D38" s="17"/>
      <c r="E38" s="12"/>
      <c r="F38" s="16"/>
      <c r="G38" s="12"/>
      <c r="H38" s="12"/>
      <c r="I38" s="12"/>
      <c r="J38" s="12"/>
      <c r="K38" s="12"/>
      <c r="L38" s="12"/>
      <c r="M38" s="12"/>
      <c r="N38" s="12"/>
      <c r="O38" s="12"/>
      <c r="P38" s="12"/>
      <c r="Q38" s="12"/>
      <c r="R38" s="12"/>
      <c r="S38" s="12"/>
      <c r="T38" s="12"/>
      <c r="U38" s="17"/>
      <c r="V38" s="17"/>
      <c r="W38" s="12"/>
    </row>
    <row r="39" spans="1:23" x14ac:dyDescent="0.3">
      <c r="A39" s="16"/>
      <c r="B39" s="16"/>
      <c r="C39" s="12"/>
      <c r="D39" s="17"/>
      <c r="E39" s="12"/>
      <c r="F39" s="16"/>
      <c r="G39" s="12"/>
      <c r="H39" s="12"/>
      <c r="I39" s="12"/>
      <c r="J39" s="12"/>
      <c r="K39" s="12"/>
      <c r="L39" s="12"/>
      <c r="M39" s="12"/>
      <c r="N39" s="12"/>
      <c r="O39" s="12"/>
      <c r="P39" s="12"/>
      <c r="Q39" s="12"/>
      <c r="R39" s="12"/>
      <c r="S39" s="12"/>
      <c r="T39" s="12"/>
      <c r="U39" s="17"/>
      <c r="V39" s="17"/>
      <c r="W39" s="12"/>
    </row>
    <row r="40" spans="1:23" x14ac:dyDescent="0.3">
      <c r="A40" s="16"/>
      <c r="B40" s="16"/>
      <c r="C40" s="12"/>
      <c r="D40" s="17"/>
      <c r="E40" s="12"/>
      <c r="F40" s="16"/>
      <c r="G40" s="12"/>
      <c r="H40" s="12"/>
      <c r="I40" s="12"/>
      <c r="J40" s="12"/>
      <c r="K40" s="12"/>
      <c r="L40" s="12"/>
      <c r="M40" s="12"/>
      <c r="N40" s="12"/>
      <c r="O40" s="12"/>
      <c r="P40" s="12"/>
      <c r="Q40" s="12"/>
      <c r="R40" s="12"/>
      <c r="S40" s="12"/>
      <c r="T40" s="12"/>
      <c r="U40" s="17"/>
      <c r="V40" s="17"/>
      <c r="W40" s="12"/>
    </row>
    <row r="41" spans="1:23" x14ac:dyDescent="0.3">
      <c r="A41" s="16"/>
      <c r="B41" s="16"/>
      <c r="C41" s="12"/>
      <c r="D41" s="17"/>
      <c r="E41" s="12"/>
      <c r="F41" s="16"/>
      <c r="G41" s="12"/>
      <c r="H41" s="12"/>
      <c r="I41" s="12"/>
      <c r="J41" s="12"/>
      <c r="K41" s="12"/>
      <c r="L41" s="12"/>
      <c r="M41" s="12"/>
      <c r="N41" s="12"/>
      <c r="O41" s="12"/>
      <c r="P41" s="12"/>
      <c r="Q41" s="12"/>
      <c r="R41" s="12"/>
      <c r="S41" s="12"/>
      <c r="T41" s="12"/>
      <c r="U41" s="17"/>
      <c r="V41" s="17"/>
      <c r="W41" s="12"/>
    </row>
    <row r="42" spans="1:23" x14ac:dyDescent="0.3">
      <c r="A42" s="16"/>
      <c r="B42" s="16"/>
      <c r="C42" s="12"/>
      <c r="D42" s="17"/>
      <c r="E42" s="12"/>
      <c r="F42" s="16"/>
      <c r="G42" s="12"/>
      <c r="H42" s="12"/>
      <c r="I42" s="12"/>
      <c r="J42" s="12"/>
      <c r="K42" s="12"/>
      <c r="L42" s="12"/>
      <c r="M42" s="12"/>
      <c r="N42" s="12"/>
      <c r="O42" s="12"/>
      <c r="P42" s="12"/>
      <c r="Q42" s="12"/>
      <c r="R42" s="12"/>
      <c r="S42" s="12"/>
      <c r="T42" s="12"/>
      <c r="U42" s="17"/>
      <c r="V42" s="17"/>
      <c r="W42" s="12"/>
    </row>
    <row r="43" spans="1:23" x14ac:dyDescent="0.3">
      <c r="A43" s="16"/>
      <c r="B43" s="16"/>
      <c r="C43" s="12"/>
      <c r="D43" s="17"/>
      <c r="E43" s="12"/>
      <c r="F43" s="16"/>
      <c r="G43" s="12"/>
      <c r="H43" s="12"/>
      <c r="I43" s="12"/>
      <c r="J43" s="12"/>
      <c r="K43" s="12"/>
      <c r="L43" s="12"/>
      <c r="M43" s="12"/>
      <c r="N43" s="12"/>
      <c r="O43" s="12"/>
      <c r="P43" s="12"/>
      <c r="Q43" s="12"/>
      <c r="R43" s="12"/>
      <c r="S43" s="12"/>
      <c r="T43" s="12"/>
      <c r="U43" s="17"/>
      <c r="V43" s="17"/>
      <c r="W43" s="12"/>
    </row>
    <row r="44" spans="1:23" x14ac:dyDescent="0.3">
      <c r="A44" s="16"/>
      <c r="B44" s="16"/>
      <c r="C44" s="12"/>
      <c r="D44" s="17"/>
      <c r="E44" s="12"/>
      <c r="F44" s="16"/>
      <c r="G44" s="12"/>
      <c r="H44" s="12"/>
      <c r="I44" s="12"/>
      <c r="J44" s="12"/>
      <c r="K44" s="12"/>
      <c r="L44" s="12"/>
      <c r="M44" s="12"/>
      <c r="N44" s="12"/>
      <c r="O44" s="12"/>
      <c r="P44" s="12"/>
      <c r="Q44" s="12"/>
      <c r="R44" s="12"/>
      <c r="S44" s="12"/>
      <c r="T44" s="12"/>
      <c r="U44" s="17"/>
      <c r="V44" s="17"/>
      <c r="W44" s="12"/>
    </row>
    <row r="45" spans="1:23" x14ac:dyDescent="0.3">
      <c r="A45" s="16"/>
      <c r="B45" s="16"/>
      <c r="C45" s="12"/>
      <c r="D45" s="17"/>
      <c r="E45" s="12"/>
      <c r="F45" s="16"/>
      <c r="G45" s="12"/>
      <c r="H45" s="12"/>
      <c r="I45" s="12"/>
      <c r="J45" s="12"/>
      <c r="K45" s="12"/>
      <c r="L45" s="12"/>
      <c r="M45" s="12"/>
      <c r="N45" s="12"/>
      <c r="O45" s="12"/>
      <c r="P45" s="12"/>
      <c r="Q45" s="12"/>
      <c r="R45" s="12"/>
      <c r="S45" s="12"/>
      <c r="T45" s="12"/>
      <c r="U45" s="17"/>
      <c r="V45" s="17"/>
      <c r="W45" s="12"/>
    </row>
    <row r="46" spans="1:23" ht="15" thickBot="1" x14ac:dyDescent="0.35">
      <c r="A46" s="16"/>
      <c r="B46" s="18"/>
      <c r="C46" s="19"/>
      <c r="D46" s="20"/>
      <c r="E46" s="12"/>
      <c r="F46" s="18"/>
      <c r="G46" s="19"/>
      <c r="H46" s="19"/>
      <c r="I46" s="19"/>
      <c r="J46" s="19"/>
      <c r="K46" s="19"/>
      <c r="L46" s="19"/>
      <c r="M46" s="19"/>
      <c r="N46" s="19"/>
      <c r="O46" s="19"/>
      <c r="P46" s="19"/>
      <c r="Q46" s="19"/>
      <c r="R46" s="19"/>
      <c r="S46" s="19"/>
      <c r="T46" s="19"/>
      <c r="U46" s="20"/>
      <c r="V46" s="17"/>
      <c r="W46" s="12"/>
    </row>
    <row r="47" spans="1:23" ht="15" thickBot="1" x14ac:dyDescent="0.35">
      <c r="A47" s="18"/>
      <c r="B47" s="19"/>
      <c r="C47" s="19"/>
      <c r="D47" s="19"/>
      <c r="E47" s="19"/>
      <c r="F47" s="19"/>
      <c r="G47" s="19"/>
      <c r="H47" s="19"/>
      <c r="I47" s="19"/>
      <c r="J47" s="19"/>
      <c r="K47" s="19"/>
      <c r="L47" s="19"/>
      <c r="M47" s="19"/>
      <c r="N47" s="19"/>
      <c r="O47" s="19"/>
      <c r="P47" s="19"/>
      <c r="Q47" s="19"/>
      <c r="R47" s="19"/>
      <c r="S47" s="19"/>
      <c r="T47" s="19"/>
      <c r="U47" s="19"/>
      <c r="V47" s="20"/>
      <c r="W47" s="12"/>
    </row>
  </sheetData>
  <mergeCells count="1">
    <mergeCell ref="B2:V3"/>
  </mergeCells>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Q5</vt:lpstr>
      <vt:lpstr>Sales_Data</vt:lpstr>
      <vt:lpstr>Item_List</vt:lpstr>
      <vt:lpstr>Region_Targets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GHANSHYAM PRAJAPATI</cp:lastModifiedBy>
  <dcterms:created xsi:type="dcterms:W3CDTF">2025-10-27T16:42:12Z</dcterms:created>
  <dcterms:modified xsi:type="dcterms:W3CDTF">2026-06-12T06:42:43Z</dcterms:modified>
</cp:coreProperties>
</file>